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c3c7a6b65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共享格位方案" sheetId="1" r:id="R189f5898016e43a5"/>
    <x:sheet xmlns:r="http://schemas.openxmlformats.org/officeDocument/2006/relationships" name="逐图评估" sheetId="2" r:id="R2d3032c8fc1f49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name val="Arial"/>
    </x:font>
    <x:font>
      <x:sz val="10"/>
      <x:color rgb="FF526174"/>
      <x:name val="Arial"/>
    </x:font>
    <x:font>
      <x:b/>
      <x:sz val="11"/>
      <x:color rgb="FF172337"/>
      <x:name val="Arial"/>
    </x:font>
    <x:font>
      <x:sz val="11"/>
      <x:name val="Arial"/>
    </x:font>
    <x:font>
      <x:sz val="10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4E7EB"/>
      </x:patternFill>
    </x:fill>
    <x:fill>
      <x:patternFill patternType="solid">
        <x:fgColor rgb="FFDDEFD9"/>
      </x:patternFill>
    </x:fill>
    <x:fill>
      <x:patternFill patternType="solid">
        <x:fgColor rgb="FFF6DEE6"/>
      </x:patternFill>
    </x:fill>
    <x:fill>
      <x:patternFill patternType="solid">
        <x:fgColor rgb="FFFFF0C9"/>
      </x:patternFill>
    </x:fill>
    <x:fill>
      <x:patternFill patternType="solid">
        <x:fgColor rgb="FF2433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ill>
        <x:patternFill patternType="solid">
          <x:bgColor rgb="FFDDEFD9"/>
        </x:patternFill>
      </x:fill>
    </x:dxf>
    <x:dxf>
      <x:fill>
        <x:patternFill patternType="solid">
          <x:bgColor rgb="FFFFF0C9"/>
        </x:patternFill>
      </x:fill>
    </x:dxf>
    <x:dxf>
      <x:fill>
        <x:patternFill patternType="solid">
          <x:bgColor rgb="FFF6DEE6"/>
        </x:patternFill>
      </x:fill>
    </x:dxf>
    <x:dxf>
      <x:fill>
        <x:patternFill patternType="solid">
          <x:bgColor rgb="FFDDEFD9"/>
        </x:patternFill>
      </x:fill>
    </x:dxf>
    <x:dxf>
      <x:fill>
        <x:patternFill patternType="solid">
          <x:bgColor rgb="FFFFF0C9"/>
        </x:patternFill>
      </x:fill>
    </x:dxf>
    <x:dxf>
      <x:fill>
        <x:patternFill patternType="solid">
          <x:bgColor rgb="FFF6DE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3fbb202d624e6f" /><Relationship Type="http://schemas.openxmlformats.org/officeDocument/2006/relationships/theme" Target="/xl/theme/theme1.xml" Id="Rf67573c4b2154f15" /><Relationship Type="http://schemas.openxmlformats.org/officeDocument/2006/relationships/sharedStrings" Target="/xl/sharedStrings.xml" Id="R71efaba793234458" /><Relationship Type="http://schemas.openxmlformats.org/officeDocument/2006/relationships/worksheet" Target="/xl/worksheets/sheet1.xml" Id="R189f5898016e43a5" /><Relationship Type="http://schemas.openxmlformats.org/officeDocument/2006/relationships/worksheet" Target="/xl/worksheets/sheet2.xml" Id="R2d3032c8fc1f4991" /></Relationships>
</file>

<file path=xl/tables/table1.xml><?xml version="1.0" encoding="utf-8"?>
<x:table xmlns:x="http://schemas.openxmlformats.org/spreadsheetml/2006/main" id="1" name="SharedSlots" displayName="SharedSlots" ref="A15:H40" headerRowCount="1" totalsRowCount="0" totalsRowShown="0">
  <x:tableColumns count="8">
    <x:tableColumn id="1" name="共享槽"/>
    <x:tableColumn id="2" name="建议格位"/>
    <x:tableColumn id="3" name="类型"/>
    <x:tableColumn id="4" name="图寻初评"/>
    <x:tableColumn id="5" name="区域1 西湖文化广场"/>
    <x:tableColumn id="6" name="区域2 武林广场"/>
    <x:tableColumn id="7" name="区域3 龙翔桥"/>
    <x:tableColumn id="8" name="处理及核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otoReview" displayName="PhotoReview" ref="A5:Q71" headerRowCount="1" totalsRowCount="0" totalsRowShown="0">
  <x:tableColumns count="17">
    <x:tableColumn id="1" name="图片ID"/>
    <x:tableColumn id="2" name="原表行"/>
    <x:tableColumn id="3" name="区域"/>
    <x:tableColumn id="4" name="原文件名"/>
    <x:tableColumn id="5" name="原拍摄点 D列"/>
    <x:tableColumn id="6" name="原备注 E列"/>
    <x:tableColumn id="7" name="原难度 F列"/>
    <x:tableColumn id="8" name="初评难度"/>
    <x:tableColumn id="9" name="建议用途"/>
    <x:tableColumn id="10" name="共享槽"/>
    <x:tableColumn id="11" name="建议格位"/>
    <x:tableColumn id="12" name="画面内容"/>
    <x:tableColumn id="13" name="保留线索"/>
    <x:tableColumn id="14" name="初评理由"/>
    <x:tableColumn id="15" name="特殊处理建议"/>
    <x:tableColumn id="16" name="现场核对"/>
    <x:tableColumn id="17" name="原标注状态 G列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03d6583dc84f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a77efbd64442fe" /></Relationships>
</file>

<file path=xl/worksheets/sheet1.xml><?xml version="1.0" encoding="utf-8"?>
<x:worksheet xmlns:x="http://schemas.openxmlformats.org/spreadsheetml/2006/main">
  <x:sheetPr>
    <x:tabColor rgb="FF24334A"/>
  </x:sheetPr>
  <x:sheetViews>
    <x:sheetView showGridLines="0" workbookViewId="0">
      <x:pane ySplit="15" topLeftCell="A16" activePane="bottomLeft" state="frozen"/>
    </x:sheetView>
  </x:sheetViews>
  <x:sheetFormatPr defaultRowHeight="15"/>
  <x:cols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" max="1" width="11" hidden="0" customWidth="1"/>
    <x:col min="2" max="2" width="12" hidden="0" customWidth="1"/>
    <x:col min="3" max="3" width="12" hidden="0" customWidth="1"/>
    <x:col min="4" max="4" width="12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2">
      <x:c r="A2" s="1" t="str">
        <x:v>五队共享图寻分配（候选方案）</x:v>
      </x:c>
    </x:row>
    <x:row r="3">
      <x:c r="A3" s="2" t="str">
        <x:v>每队25任务：19图寻＋6直接任务。五队共125任务。57张区域图片重复引用。</x:v>
      </x:c>
    </x:row>
    <x:row r="5" ht="42" customHeight="1">
      <x:c r="A5" s="23" t="str">
        <x:v>图片总量：66张（原表实际记录数）</x:v>
      </x:c>
      <x:c r="J5" s="7" t="str">
        <x:v>D01
无需图寻</x:v>
      </x:c>
      <x:c r="K5" s="12" t="str">
        <x:v>P02
易</x:v>
      </x:c>
      <x:c r="L5" s="17" t="str">
        <x:v>P19
难</x:v>
      </x:c>
      <x:c r="M5" s="12" t="str">
        <x:v>P05
易</x:v>
      </x:c>
      <x:c r="N5" s="22" t="str">
        <x:v>P11
中</x:v>
      </x:c>
    </x:row>
    <x:row r="6" ht="42" customHeight="1">
      <x:c r="A6" s="23" t="str">
        <x:v>区域原图：25 / 21 / 20张</x:v>
      </x:c>
      <x:c r="J6" s="12" t="str">
        <x:v>P04
易</x:v>
      </x:c>
      <x:c r="K6" s="17" t="str">
        <x:v>P17
难</x:v>
      </x:c>
      <x:c r="L6" s="7" t="str">
        <x:v>D02
无需图寻</x:v>
      </x:c>
      <x:c r="M6" s="22" t="str">
        <x:v>P12
中</x:v>
      </x:c>
      <x:c r="N6" s="12" t="str">
        <x:v>P01
易</x:v>
      </x:c>
    </x:row>
    <x:row r="7" ht="42" customHeight="1">
      <x:c r="A7" s="23" t="str">
        <x:v>正式候选：19 / 19 / 19张，共57张</x:v>
      </x:c>
      <x:c r="J7" s="22" t="str">
        <x:v>P13
中</x:v>
      </x:c>
      <x:c r="K7" s="22" t="str">
        <x:v>P14
中</x:v>
      </x:c>
      <x:c r="L7" s="7" t="str">
        <x:v>D03
无需图寻</x:v>
      </x:c>
      <x:c r="M7" s="17" t="str">
        <x:v>P16
难</x:v>
      </x:c>
      <x:c r="N7" s="7" t="str">
        <x:v>D04
无需图寻</x:v>
      </x:c>
    </x:row>
    <x:row r="8" ht="42" customHeight="1">
      <x:c r="A8" s="23" t="str">
        <x:v>另存：8张备用、1张区域1开场图</x:v>
      </x:c>
      <x:c r="J8" s="17" t="str">
        <x:v>P18
难</x:v>
      </x:c>
      <x:c r="K8" s="7" t="str">
        <x:v>D05
无需图寻</x:v>
      </x:c>
      <x:c r="L8" s="12" t="str">
        <x:v>P06
易</x:v>
      </x:c>
      <x:c r="M8" s="22" t="str">
        <x:v>P08
中</x:v>
      </x:c>
      <x:c r="N8" s="22" t="str">
        <x:v>P10
中</x:v>
      </x:c>
    </x:row>
    <x:row r="9" ht="42" customHeight="1">
      <x:c r="A9" s="23" t="str">
        <x:v>右侧为5×5位置建议；P为共享图寻槽，D为直接任务。</x:v>
      </x:c>
      <x:c r="J9" s="22" t="str">
        <x:v>P07
中</x:v>
      </x:c>
      <x:c r="K9" s="12" t="str">
        <x:v>P03
易</x:v>
      </x:c>
      <x:c r="L9" s="22" t="str">
        <x:v>P15
中</x:v>
      </x:c>
      <x:c r="M9" s="7" t="str">
        <x:v>D06
无需图寻</x:v>
      </x:c>
      <x:c r="N9" s="22" t="str">
        <x:v>P09
中</x:v>
      </x:c>
    </x:row>
    <x:row r="11">
      <x:c r="A11" t="str">
        <x:v>六个直接任务格为位置建议，各行各列均有1–2个；直接任务本身的难度未在本次计入。</x:v>
      </x:c>
    </x:row>
    <x:row r="12">
      <x:c r="A12" t="str">
        <x:v>三地区域候选均为6易、9中、4难。原难度不覆盖；处理版需按原图核对后采用。</x:v>
      </x:c>
    </x:row>
    <x:row r="13">
      <x:c r="A13" t="str">
        <x:v>只复用图片，不把五块Bingo的任务、审核或完成状态合并。区域2、3的开场图仍未明确。</x:v>
      </x:c>
    </x:row>
    <x:row r="15" ht="25" customHeight="1">
      <x:c r="A15" s="29" t="str">
        <x:v>共享槽</x:v>
      </x:c>
      <x:c r="B15" s="29" t="str">
        <x:v>建议格位</x:v>
      </x:c>
      <x:c r="C15" s="29" t="str">
        <x:v>类型</x:v>
      </x:c>
      <x:c r="D15" s="29" t="str">
        <x:v>图寻初评</x:v>
      </x:c>
      <x:c r="E15" s="29" t="str">
        <x:v>区域1 西湖文化广场</x:v>
      </x:c>
      <x:c r="F15" s="29" t="str">
        <x:v>区域2 武林广场</x:v>
      </x:c>
      <x:c r="G15" s="29" t="str">
        <x:v>区域3 龙翔桥</x:v>
      </x:c>
      <x:c r="H15" s="29" t="str">
        <x:v>处理及核对</x:v>
      </x:c>
      <x:c r="J15" s="32" t="str">
        <x:v>区域</x:v>
      </x:c>
      <x:c r="K15" s="32" t="str">
        <x:v>易</x:v>
      </x:c>
      <x:c r="L15" s="32" t="str">
        <x:v>中</x:v>
      </x:c>
      <x:c r="M15" s="32" t="str">
        <x:v>难</x:v>
      </x:c>
    </x:row>
    <x:row r="16" ht="25" customHeight="1">
      <x:c r="A16" s="26" t="str">
        <x:v>D01</x:v>
      </x:c>
      <x:c r="B16" s="26" t="str">
        <x:v>R1C1</x:v>
      </x:c>
      <x:c r="C16" s="26" t="str">
        <x:v>直接任务</x:v>
      </x:c>
      <x:c r="D16" s="26"/>
      <x:c r="E16" s="26" t="str">
        <x:v>无需图寻</x:v>
      </x:c>
      <x:c r="F16" s="26" t="str">
        <x:v>无需图寻</x:v>
      </x:c>
      <x:c r="G16" s="26" t="str">
        <x:v>无需图寻</x:v>
      </x:c>
      <x:c r="H16" s="26" t="str">
        <x:v>具体任务未编写</x:v>
      </x:c>
      <x:c r="J16" s="30" t="n">
        <x:v>1</x:v>
      </x:c>
      <x:c r="K16" s="30" t="n">
        <x:f>COUNTIFS('逐图评估'!$C$6:$C$71,J16,'逐图评估'!$H$6:$H$71,1,'逐图评估'!$I$6:$I$71,"正式候选")</x:f>
        <x:v>6</x:v>
      </x:c>
      <x:c r="L16" s="30" t="n">
        <x:f>COUNTIFS('逐图评估'!$C$6:$C$71,J16,'逐图评估'!$H$6:$H$71,2,'逐图评估'!$I$6:$I$71,"正式候选")</x:f>
        <x:v>9</x:v>
      </x:c>
      <x:c r="M16" s="30" t="n">
        <x:f>COUNTIFS('逐图评估'!$C$6:$C$71,J16,'逐图评估'!$H$6:$H$71,3,'逐图评估'!$I$6:$I$71,"正式候选")</x:f>
        <x:v>4</x:v>
      </x:c>
    </x:row>
    <x:row r="17" ht="25" customHeight="1">
      <x:c r="A17" s="26" t="str">
        <x:v>P02</x:v>
      </x:c>
      <x:c r="B17" s="26" t="str">
        <x:v>R1C2</x:v>
      </x:c>
      <x:c r="C17" s="26" t="str">
        <x:v>图寻任务</x:v>
      </x:c>
      <x:c r="D17" s="26" t="n">
        <x:v>1</x:v>
      </x:c>
      <x:c r="E17" s="26" t="str">
        <x:v>#4 西湖文化广场瑞幸咖啡侧门外</x:v>
      </x:c>
      <x:c r="F17" s="26" t="str">
        <x:v>#32 杭州大厦中央商城B2 711</x:v>
      </x:c>
      <x:c r="G17" s="26" t="str">
        <x:v>#48 in77 C1区B1层</x:v>
      </x:c>
      <x:c r="H17" s="26" t="str">
        <x:v>原图候选</x:v>
      </x:c>
      <x:c r="J17" s="30" t="n">
        <x:v>2</x:v>
      </x:c>
      <x:c r="K17" s="30" t="n">
        <x:f>COUNTIFS('逐图评估'!$C$6:$C$71,J17,'逐图评估'!$H$6:$H$71,1,'逐图评估'!$I$6:$I$71,"正式候选")</x:f>
        <x:v>6</x:v>
      </x:c>
      <x:c r="L17" s="30" t="n">
        <x:f>COUNTIFS('逐图评估'!$C$6:$C$71,J17,'逐图评估'!$H$6:$H$71,2,'逐图评估'!$I$6:$I$71,"正式候选")</x:f>
        <x:v>9</x:v>
      </x:c>
      <x:c r="M17" s="30" t="n">
        <x:f>COUNTIFS('逐图评估'!$C$6:$C$71,J17,'逐图评估'!$H$6:$H$71,3,'逐图评估'!$I$6:$I$71,"正式候选")</x:f>
        <x:v>4</x:v>
      </x:c>
    </x:row>
    <x:row r="18" ht="25" customHeight="1">
      <x:c r="A18" s="26" t="str">
        <x:v>P19</x:v>
      </x:c>
      <x:c r="B18" s="26" t="str">
        <x:v>R1C3</x:v>
      </x:c>
      <x:c r="C18" s="26" t="str">
        <x:v>图寻任务</x:v>
      </x:c>
      <x:c r="D18" s="26" t="n">
        <x:v>3</x:v>
      </x:c>
      <x:c r="E18" s="26" t="str">
        <x:v>#11 西湖文化广场地下一层壁画处</x:v>
      </x:c>
      <x:c r="F18" s="26" t="str">
        <x:v>#38 国大城市广场B2中庭</x:v>
      </x:c>
      <x:c r="G18" s="26" t="str">
        <x:v>#51 in77 C区到E区通道</x:v>
      </x:c>
      <x:c r="H18" s="26" t="str">
        <x:v>原图候选</x:v>
      </x:c>
      <x:c r="J18" s="30" t="n">
        <x:v>3</x:v>
      </x:c>
      <x:c r="K18" s="30" t="n">
        <x:f>COUNTIFS('逐图评估'!$C$6:$C$71,J18,'逐图评估'!$H$6:$H$71,1,'逐图评估'!$I$6:$I$71,"正式候选")</x:f>
        <x:v>6</x:v>
      </x:c>
      <x:c r="L18" s="30" t="n">
        <x:f>COUNTIFS('逐图评估'!$C$6:$C$71,J18,'逐图评估'!$H$6:$H$71,2,'逐图评估'!$I$6:$I$71,"正式候选")</x:f>
        <x:v>9</x:v>
      </x:c>
      <x:c r="M18" s="30" t="n">
        <x:f>COUNTIFS('逐图评估'!$C$6:$C$71,J18,'逐图评估'!$H$6:$H$71,3,'逐图评估'!$I$6:$I$71,"正式候选")</x:f>
        <x:v>4</x:v>
      </x:c>
    </x:row>
    <x:row r="19" ht="44" customHeight="1">
      <x:c r="A19" s="26" t="str">
        <x:v>P05</x:v>
      </x:c>
      <x:c r="B19" s="26" t="str">
        <x:v>R1C4</x:v>
      </x:c>
      <x:c r="C19" s="26" t="str">
        <x:v>图寻任务</x:v>
      </x:c>
      <x:c r="D19" s="26" t="n">
        <x:v>1</x:v>
      </x:c>
      <x:c r="E19" s="26" t="str">
        <x:v>#18 浙江省科技馆南门</x:v>
      </x:c>
      <x:c r="F19" s="26" t="str">
        <x:v>#44 杭州大酒店门口</x:v>
      </x:c>
      <x:c r="G19" s="26" t="str">
        <x:v>#58 in77 BD连廊B2层消失的圆明园</x:v>
      </x:c>
      <x:c r="H19" s="26" t="str">
        <x:v>含陈列或营业条件，现场核对</x:v>
      </x:c>
    </x:row>
    <x:row r="20" ht="44" customHeight="1">
      <x:c r="A20" s="26" t="str">
        <x:v>P11</x:v>
      </x:c>
      <x:c r="B20" s="26" t="str">
        <x:v>R1C5</x:v>
      </x:c>
      <x:c r="C20" s="26" t="str">
        <x:v>图寻任务</x:v>
      </x:c>
      <x:c r="D20" s="26" t="n">
        <x:v>2</x:v>
      </x:c>
      <x:c r="E20" s="26" t="str">
        <x:v>#15 杭州运河海底世界入口处</x:v>
      </x:c>
      <x:c r="F20" s="26" t="str">
        <x:v>#29 杭州大厦中央商城B2zpark二次元广场入口</x:v>
      </x:c>
      <x:c r="G20" s="26" t="str">
        <x:v>#49 in77 C3区B1层</x:v>
      </x:c>
      <x:c r="H20" s="26" t="str">
        <x:v>含处理版，需比对原图</x:v>
      </x:c>
    </x:row>
    <x:row r="21" ht="44" customHeight="1">
      <x:c r="A21" s="26" t="str">
        <x:v>P04</x:v>
      </x:c>
      <x:c r="B21" s="26" t="str">
        <x:v>R2C1</x:v>
      </x:c>
      <x:c r="C21" s="26" t="str">
        <x:v>图寻任务</x:v>
      </x:c>
      <x:c r="D21" s="26" t="n">
        <x:v>1</x:v>
      </x:c>
      <x:c r="E21" s="26" t="str">
        <x:v>#16 武林门码头</x:v>
      </x:c>
      <x:c r="F21" s="26" t="str">
        <x:v>#26 浙江展览馆南广场</x:v>
      </x:c>
      <x:c r="G21" s="26" t="str">
        <x:v>#54 工联CC三楼卡通尼乐园</x:v>
      </x:c>
      <x:c r="H21" s="26" t="str">
        <x:v>含陈列或营业条件，现场核对</x:v>
      </x:c>
    </x:row>
    <x:row r="22" ht="44" customHeight="1">
      <x:c r="A22" s="26" t="str">
        <x:v>P17</x:v>
      </x:c>
      <x:c r="B22" s="26" t="str">
        <x:v>R2C2</x:v>
      </x:c>
      <x:c r="C22" s="26" t="str">
        <x:v>图寻任务</x:v>
      </x:c>
      <x:c r="D22" s="26" t="n">
        <x:v>3</x:v>
      </x:c>
      <x:c r="E22" s="26" t="str">
        <x:v>#5 银泰百货（西湖文化广场店）一楼装饰物</x:v>
      </x:c>
      <x:c r="F22" s="26" t="str">
        <x:v>#27 杭州大厦中央商城B1中庭</x:v>
      </x:c>
      <x:c r="G22" s="26" t="str">
        <x:v>#52 in77 C1区B1层</x:v>
      </x:c>
      <x:c r="H22" s="26" t="str">
        <x:v>含陈列或营业条件，现场核对</x:v>
      </x:c>
    </x:row>
    <x:row r="23" ht="44" customHeight="1">
      <x:c r="A23" s="26" t="str">
        <x:v>D02</x:v>
      </x:c>
      <x:c r="B23" s="26" t="str">
        <x:v>R2C3</x:v>
      </x:c>
      <x:c r="C23" s="26" t="str">
        <x:v>直接任务</x:v>
      </x:c>
      <x:c r="D23" s="26"/>
      <x:c r="E23" s="26" t="str">
        <x:v>无需图寻</x:v>
      </x:c>
      <x:c r="F23" s="26" t="str">
        <x:v>无需图寻</x:v>
      </x:c>
      <x:c r="G23" s="26" t="str">
        <x:v>无需图寻</x:v>
      </x:c>
      <x:c r="H23" s="26" t="str">
        <x:v>具体任务未编写</x:v>
      </x:c>
    </x:row>
    <x:row r="24" ht="44" customHeight="1">
      <x:c r="A24" s="26" t="str">
        <x:v>P12</x:v>
      </x:c>
      <x:c r="B24" s="26" t="str">
        <x:v>R2C4</x:v>
      </x:c>
      <x:c r="C24" s="26" t="str">
        <x:v>图寻任务</x:v>
      </x:c>
      <x:c r="D24" s="26" t="n">
        <x:v>2</x:v>
      </x:c>
      <x:c r="E24" s="26" t="str">
        <x:v>#19 popome儿童乐园二楼楼梯拐角处</x:v>
      </x:c>
      <x:c r="F24" s="26" t="str">
        <x:v>#36 国大城市广场一楼跑男专卖店</x:v>
      </x:c>
      <x:c r="G24" s="26" t="str">
        <x:v>#55 工联CCB2层二次元商城入口</x:v>
      </x:c>
      <x:c r="H24" s="26" t="str">
        <x:v>含处理版，需比对原图</x:v>
      </x:c>
    </x:row>
    <x:row r="25" ht="44" customHeight="1">
      <x:c r="A25" s="26" t="str">
        <x:v>P01</x:v>
      </x:c>
      <x:c r="B25" s="26" t="str">
        <x:v>R2C5</x:v>
      </x:c>
      <x:c r="C25" s="26" t="str">
        <x:v>图寻任务</x:v>
      </x:c>
      <x:c r="D25" s="26" t="n">
        <x:v>1</x:v>
      </x:c>
      <x:c r="E25" s="26" t="str">
        <x:v>#3 浙江省博物馆外侧</x:v>
      </x:c>
      <x:c r="F25" s="26" t="str">
        <x:v>#28 浙江展览馆</x:v>
      </x:c>
      <x:c r="G25" s="26" t="str">
        <x:v>#47 in77C3区B1层</x:v>
      </x:c>
      <x:c r="H25" s="26" t="str">
        <x:v>原图候选</x:v>
      </x:c>
    </x:row>
    <x:row r="26" ht="44" customHeight="1">
      <x:c r="A26" s="26" t="str">
        <x:v>P13</x:v>
      </x:c>
      <x:c r="B26" s="26" t="str">
        <x:v>R3C1</x:v>
      </x:c>
      <x:c r="C26" s="26" t="str">
        <x:v>图寻任务</x:v>
      </x:c>
      <x:c r="D26" s="26" t="n">
        <x:v>2</x:v>
      </x:c>
      <x:c r="E26" s="26" t="str">
        <x:v>#22 西湖文化广场环球大厦内</x:v>
      </x:c>
      <x:c r="F26" s="26" t="str">
        <x:v>#34 杭州大厦中央商城B1 FILLMED</x:v>
      </x:c>
      <x:c r="G26" s="26" t="str">
        <x:v>#61 in77 B区B2层转转二手回收</x:v>
      </x:c>
      <x:c r="H26" s="26" t="str">
        <x:v>原图候选</x:v>
      </x:c>
    </x:row>
    <x:row r="27" ht="44" customHeight="1">
      <x:c r="A27" s="26" t="str">
        <x:v>P14</x:v>
      </x:c>
      <x:c r="B27" s="26" t="str">
        <x:v>R3C2</x:v>
      </x:c>
      <x:c r="C27" s="26" t="str">
        <x:v>图寻任务</x:v>
      </x:c>
      <x:c r="D27" s="26" t="n">
        <x:v>2</x:v>
      </x:c>
      <x:c r="E27" s="26" t="str">
        <x:v>#23 西湖文化广场中央花坛</x:v>
      </x:c>
      <x:c r="F27" s="26" t="str">
        <x:v>#37 国大城市广场B1名创优品内部</x:v>
      </x:c>
      <x:c r="G27" s="26" t="str">
        <x:v>#65 in77 C2区puui</x:v>
      </x:c>
      <x:c r="H27" s="26" t="str">
        <x:v>含陈列或营业条件，现场核对</x:v>
      </x:c>
    </x:row>
    <x:row r="28" ht="44" customHeight="1">
      <x:c r="A28" s="26" t="str">
        <x:v>D03</x:v>
      </x:c>
      <x:c r="B28" s="26" t="str">
        <x:v>R3C3</x:v>
      </x:c>
      <x:c r="C28" s="26" t="str">
        <x:v>直接任务</x:v>
      </x:c>
      <x:c r="D28" s="26"/>
      <x:c r="E28" s="26" t="str">
        <x:v>无需图寻</x:v>
      </x:c>
      <x:c r="F28" s="26" t="str">
        <x:v>无需图寻</x:v>
      </x:c>
      <x:c r="G28" s="26" t="str">
        <x:v>无需图寻</x:v>
      </x:c>
      <x:c r="H28" s="26" t="str">
        <x:v>具体任务未编写</x:v>
      </x:c>
    </x:row>
    <x:row r="29" ht="44" customHeight="1">
      <x:c r="A29" s="26" t="str">
        <x:v>P16</x:v>
      </x:c>
      <x:c r="B29" s="26" t="str">
        <x:v>R3C4</x:v>
      </x:c>
      <x:c r="C29" s="26" t="str">
        <x:v>图寻任务</x:v>
      </x:c>
      <x:c r="D29" s="26" t="n">
        <x:v>3</x:v>
      </x:c>
      <x:c r="E29" s="26" t="str">
        <x:v>#1 西湖文化广场一楼星巴克里侧</x:v>
      </x:c>
      <x:c r="F29" s="26" t="str">
        <x:v>#30 杭州大厦中央商城B2zpark展览区入口</x:v>
      </x:c>
      <x:c r="G29" s="26" t="str">
        <x:v>#57 工联CCB2层美食广场</x:v>
      </x:c>
      <x:c r="H29" s="26" t="str">
        <x:v>含陈列或营业条件，现场核对</x:v>
      </x:c>
    </x:row>
    <x:row r="30" ht="44" customHeight="1">
      <x:c r="A30" s="26" t="str">
        <x:v>D04</x:v>
      </x:c>
      <x:c r="B30" s="26" t="str">
        <x:v>R3C5</x:v>
      </x:c>
      <x:c r="C30" s="26" t="str">
        <x:v>直接任务</x:v>
      </x:c>
      <x:c r="D30" s="26"/>
      <x:c r="E30" s="26" t="str">
        <x:v>无需图寻</x:v>
      </x:c>
      <x:c r="F30" s="26" t="str">
        <x:v>无需图寻</x:v>
      </x:c>
      <x:c r="G30" s="26" t="str">
        <x:v>无需图寻</x:v>
      </x:c>
      <x:c r="H30" s="26" t="str">
        <x:v>具体任务未编写</x:v>
      </x:c>
    </x:row>
    <x:row r="31" ht="44" customHeight="1">
      <x:c r="A31" s="26" t="str">
        <x:v>P18</x:v>
      </x:c>
      <x:c r="B31" s="26" t="str">
        <x:v>R4C1</x:v>
      </x:c>
      <x:c r="C31" s="26" t="str">
        <x:v>图寻任务</x:v>
      </x:c>
      <x:c r="D31" s="26" t="n">
        <x:v>3</x:v>
      </x:c>
      <x:c r="E31" s="26" t="str">
        <x:v>#7 银泰百货（西湖文化广场店）五楼新白鹿</x:v>
      </x:c>
      <x:c r="F31" s="26" t="str">
        <x:v>#35 杭州大厦中央商城B1栏杆边</x:v>
      </x:c>
      <x:c r="G31" s="26" t="str">
        <x:v>#64 in77 C1区乐高旗舰店</x:v>
      </x:c>
      <x:c r="H31" s="26" t="str">
        <x:v>含陈列或营业条件，现场核对</x:v>
      </x:c>
    </x:row>
    <x:row r="32" ht="44" customHeight="1">
      <x:c r="A32" s="26" t="str">
        <x:v>D05</x:v>
      </x:c>
      <x:c r="B32" s="26" t="str">
        <x:v>R4C2</x:v>
      </x:c>
      <x:c r="C32" s="26" t="str">
        <x:v>直接任务</x:v>
      </x:c>
      <x:c r="D32" s="26"/>
      <x:c r="E32" s="26" t="str">
        <x:v>无需图寻</x:v>
      </x:c>
      <x:c r="F32" s="26" t="str">
        <x:v>无需图寻</x:v>
      </x:c>
      <x:c r="G32" s="26" t="str">
        <x:v>无需图寻</x:v>
      </x:c>
      <x:c r="H32" s="26" t="str">
        <x:v>具体任务未编写</x:v>
      </x:c>
    </x:row>
    <x:row r="33" ht="44" customHeight="1">
      <x:c r="A33" s="26" t="str">
        <x:v>P06</x:v>
      </x:c>
      <x:c r="B33" s="26" t="str">
        <x:v>R4C3</x:v>
      </x:c>
      <x:c r="C33" s="26" t="str">
        <x:v>图寻任务</x:v>
      </x:c>
      <x:c r="D33" s="26" t="n">
        <x:v>1</x:v>
      </x:c>
      <x:c r="E33" s="26" t="str">
        <x:v>#21 银泰百货（西湖文化广场店）一楼野人先生</x:v>
      </x:c>
      <x:c r="F33" s="26" t="str">
        <x:v>#40 国大城市广场B1源式木语</x:v>
      </x:c>
      <x:c r="G33" s="26" t="str">
        <x:v>#63 in77 D区B2萨莉亚</x:v>
      </x:c>
      <x:c r="H33" s="26" t="str">
        <x:v>含处理版，需比对原图</x:v>
      </x:c>
    </x:row>
    <x:row r="34" ht="44" customHeight="1">
      <x:c r="A34" s="26" t="str">
        <x:v>P08</x:v>
      </x:c>
      <x:c r="B34" s="26" t="str">
        <x:v>R4C4</x:v>
      </x:c>
      <x:c r="C34" s="26" t="str">
        <x:v>图寻任务</x:v>
      </x:c>
      <x:c r="D34" s="26" t="n">
        <x:v>2</x:v>
      </x:c>
      <x:c r="E34" s="26" t="str">
        <x:v>#12 西湖文化广场环球大厦入口处</x:v>
      </x:c>
      <x:c r="F34" s="26" t="str">
        <x:v>#42 国大城市广场银泰百货中间天桥</x:v>
      </x:c>
      <x:c r="G34" s="26" t="str">
        <x:v>#53 in77 C1区B1层</x:v>
      </x:c>
      <x:c r="H34" s="26" t="str">
        <x:v>原图候选</x:v>
      </x:c>
    </x:row>
    <x:row r="35" ht="44" customHeight="1">
      <x:c r="A35" s="26" t="str">
        <x:v>P10</x:v>
      </x:c>
      <x:c r="B35" s="26" t="str">
        <x:v>R4C5</x:v>
      </x:c>
      <x:c r="C35" s="26" t="str">
        <x:v>图寻任务</x:v>
      </x:c>
      <x:c r="D35" s="26" t="n">
        <x:v>2</x:v>
      </x:c>
      <x:c r="E35" s="26" t="str">
        <x:v>#14 西湖文化广场地下入口处</x:v>
      </x:c>
      <x:c r="F35" s="26" t="str">
        <x:v>#45 武林银泰百货B馆C馆中间通道</x:v>
      </x:c>
      <x:c r="G35" s="26" t="str">
        <x:v>#62 in77 D区B2层OONE CCUP</x:v>
      </x:c>
      <x:c r="H35" s="26" t="str">
        <x:v>原图候选</x:v>
      </x:c>
    </x:row>
    <x:row r="36" ht="44" customHeight="1">
      <x:c r="A36" s="26" t="str">
        <x:v>P07</x:v>
      </x:c>
      <x:c r="B36" s="26" t="str">
        <x:v>R5C1</x:v>
      </x:c>
      <x:c r="C36" s="26" t="str">
        <x:v>图寻任务</x:v>
      </x:c>
      <x:c r="D36" s="26" t="n">
        <x:v>2</x:v>
      </x:c>
      <x:c r="E36" s="26" t="str">
        <x:v>#9 银泰百货（西湖文化广场店）四楼电梯对侧</x:v>
      </x:c>
      <x:c r="F36" s="26" t="str">
        <x:v>#43 LACOSTE（武林银泰百货）C馆一楼</x:v>
      </x:c>
      <x:c r="G36" s="26" t="str">
        <x:v>#60 in77 B区B2层harufilm追星馆</x:v>
      </x:c>
      <x:c r="H36" s="26" t="str">
        <x:v>原图候选</x:v>
      </x:c>
    </x:row>
    <x:row r="37" ht="44" customHeight="1">
      <x:c r="A37" s="26" t="str">
        <x:v>P03</x:v>
      </x:c>
      <x:c r="B37" s="26" t="str">
        <x:v>R5C2</x:v>
      </x:c>
      <x:c r="C37" s="26" t="str">
        <x:v>图寻任务</x:v>
      </x:c>
      <x:c r="D37" s="26" t="n">
        <x:v>1</x:v>
      </x:c>
      <x:c r="E37" s="26" t="str">
        <x:v>#10 西湖文化广场世纪联华地下入口处</x:v>
      </x:c>
      <x:c r="F37" s="26" t="str">
        <x:v>#39 国大城市广场B2 12号电梯</x:v>
      </x:c>
      <x:c r="G37" s="26" t="str">
        <x:v>#50 in77 C2区B1层</x:v>
      </x:c>
      <x:c r="H37" s="26" t="str">
        <x:v>原图候选</x:v>
      </x:c>
    </x:row>
    <x:row r="38" ht="44" customHeight="1">
      <x:c r="A38" s="26" t="str">
        <x:v>P15</x:v>
      </x:c>
      <x:c r="B38" s="26" t="str">
        <x:v>R5C3</x:v>
      </x:c>
      <x:c r="C38" s="26" t="str">
        <x:v>图寻任务</x:v>
      </x:c>
      <x:c r="D38" s="26" t="n">
        <x:v>2</x:v>
      </x:c>
      <x:c r="E38" s="26" t="str">
        <x:v>#24 西湖文化广场地下入口处</x:v>
      </x:c>
      <x:c r="F38" s="26" t="str">
        <x:v>#31 杭州大厦中央商城B2POKECOLOR内部</x:v>
      </x:c>
      <x:c r="G38" s="26" t="str">
        <x:v>#56 工联CCB1层animate店</x:v>
      </x:c>
      <x:c r="H38" s="26" t="str">
        <x:v>原图候选</x:v>
      </x:c>
    </x:row>
    <x:row r="39" ht="44" customHeight="1">
      <x:c r="A39" s="26" t="str">
        <x:v>D06</x:v>
      </x:c>
      <x:c r="B39" s="26" t="str">
        <x:v>R5C4</x:v>
      </x:c>
      <x:c r="C39" s="26" t="str">
        <x:v>直接任务</x:v>
      </x:c>
      <x:c r="D39" s="26"/>
      <x:c r="E39" s="26" t="str">
        <x:v>无需图寻</x:v>
      </x:c>
      <x:c r="F39" s="26" t="str">
        <x:v>无需图寻</x:v>
      </x:c>
      <x:c r="G39" s="26" t="str">
        <x:v>无需图寻</x:v>
      </x:c>
      <x:c r="H39" s="26" t="str">
        <x:v>具体任务未编写</x:v>
      </x:c>
    </x:row>
    <x:row r="40" ht="44" customHeight="1">
      <x:c r="A40" s="26" t="str">
        <x:v>P09</x:v>
      </x:c>
      <x:c r="B40" s="26" t="str">
        <x:v>R5C5</x:v>
      </x:c>
      <x:c r="C40" s="26" t="str">
        <x:v>图寻任务</x:v>
      </x:c>
      <x:c r="D40" s="26" t="n">
        <x:v>2</x:v>
      </x:c>
      <x:c r="E40" s="26" t="str">
        <x:v>#13 西湖文化广场球幕影院外侧</x:v>
      </x:c>
      <x:c r="F40" s="26" t="str">
        <x:v>#41 国大城市广场一楼雕塑</x:v>
      </x:c>
      <x:c r="G40" s="26" t="str">
        <x:v>#59 in77 B区B2层中央转角处</x:v>
      </x:c>
      <x:c r="H40" s="26" t="str">
        <x:v>含陈列或营业条件，现场核对</x:v>
      </x:c>
    </x:row>
  </x:sheetData>
  <x:conditionalFormatting sqref="D16:D40">
    <x:cfRule type="cellIs" dxfId="0" priority="1" operator="equal">
      <x:formula>1</x:formula>
    </x:cfRule>
    <x:cfRule type="cellIs" dxfId="1" priority="2" operator="equal">
      <x:formula>2</x:formula>
    </x:cfRule>
    <x:cfRule type="cellIs" dxfId="2" priority="3" operator="equal">
      <x:formula>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03d6583dc84f66"/>
  </x:tableParts>
</x:worksheet>
</file>

<file path=xl/worksheets/sheet2.xml><?xml version="1.0" encoding="utf-8"?>
<x:worksheet xmlns:x="http://schemas.openxmlformats.org/spreadsheetml/2006/main">
  <x:sheetPr>
    <x:tabColor rgb="FF24334A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41" hidden="0" customWidth="1"/>
    <x:col min="5" max="5" width="35" hidden="0" customWidth="1"/>
    <x:col min="6" max="6" width="3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50" hidden="0" customWidth="1"/>
    <x:col min="13" max="13" width="50" hidden="0" customWidth="1"/>
    <x:col min="14" max="14" width="50" hidden="0" customWidth="1"/>
    <x:col min="15" max="15" width="50" hidden="0" customWidth="1"/>
    <x:col min="16" max="16" width="50" hidden="0" customWidth="1"/>
    <x:col min="17" max="17" width="12" hidden="0" customWidth="1"/>
  </x:cols>
  <x:sheetData>
    <x:row r="2">
      <x:c r="A2" s="1" t="str">
        <x:v>66张图片逐图评估</x:v>
      </x:c>
    </x:row>
    <x:row r="3">
      <x:c r="A3" s="2" t="str">
        <x:v>初评依据为原图可见内容和原表位置，未做现场计时；文字处理版采用后的难度仍需试玩。</x:v>
      </x:c>
    </x:row>
    <x:row r="4">
      <x:c r="A4" s="2" t="str">
        <x:v>来源：HrgOS 图片拍摄地点标注（67 张）.xlsx。实际66条记录、66张嵌入图。编号=原表行号减1。</x:v>
      </x:c>
    </x:row>
    <x:row r="5" ht="30" customHeight="1">
      <x:c r="A5" s="29" t="str">
        <x:v>图片ID</x:v>
      </x:c>
      <x:c r="B5" s="29" t="str">
        <x:v>原表行</x:v>
      </x:c>
      <x:c r="C5" s="29" t="str">
        <x:v>区域</x:v>
      </x:c>
      <x:c r="D5" s="29" t="str">
        <x:v>原文件名</x:v>
      </x:c>
      <x:c r="E5" s="29" t="str">
        <x:v>原拍摄点 D列</x:v>
      </x:c>
      <x:c r="F5" s="29" t="str">
        <x:v>原备注 E列</x:v>
      </x:c>
      <x:c r="G5" s="29" t="str">
        <x:v>原难度 F列</x:v>
      </x:c>
      <x:c r="H5" s="29" t="str">
        <x:v>初评难度</x:v>
      </x:c>
      <x:c r="I5" s="29" t="str">
        <x:v>建议用途</x:v>
      </x:c>
      <x:c r="J5" s="29" t="str">
        <x:v>共享槽</x:v>
      </x:c>
      <x:c r="K5" s="29" t="str">
        <x:v>建议格位</x:v>
      </x:c>
      <x:c r="L5" s="29" t="str">
        <x:v>画面内容</x:v>
      </x:c>
      <x:c r="M5" s="29" t="str">
        <x:v>保留线索</x:v>
      </x:c>
      <x:c r="N5" s="29" t="str">
        <x:v>初评理由</x:v>
      </x:c>
      <x:c r="O5" s="29" t="str">
        <x:v>特殊处理建议</x:v>
      </x:c>
      <x:c r="P5" s="29" t="str">
        <x:v>现场核对</x:v>
      </x:c>
      <x:c r="Q5" s="29" t="str">
        <x:v>原标注状态 G列</x:v>
      </x:c>
    </x:row>
    <x:row r="6" ht="76" customHeight="1">
      <x:c r="A6" s="26" t="n">
        <x:v>1</x:v>
      </x:c>
      <x:c r="B6" s="26" t="n">
        <x:v>2</x:v>
      </x:c>
      <x:c r="C6" s="26" t="n">
        <x:v>1</x:v>
      </x:c>
      <x:c r="D6" s="26" t="str">
        <x:v>44BED50454606443DD7360525C1CA5BB.jpg</x:v>
      </x:c>
      <x:c r="E6" s="26" t="str">
        <x:v>西湖文化广场一楼星巴克里侧</x:v>
      </x:c>
      <x:c r="F6" s="26" t="str">
        <x:v>星巴克（西湖文化广场店）</x:v>
      </x:c>
      <x:c r="G6" s="26" t="str">
        <x:v>3</x:v>
      </x:c>
      <x:c r="H6" s="26" t="n">
        <x:v>3</x:v>
      </x:c>
      <x:c r="I6" s="26" t="str">
        <x:v>正式候选</x:v>
      </x:c>
      <x:c r="J6" s="26" t="str">
        <x:v>P16</x:v>
      </x:c>
      <x:c r="K6" s="26" t="str">
        <x:v>R3C4</x:v>
      </x:c>
      <x:c r="L6" s="26" t="str">
        <x:v>星巴克店内黑板手绘人物、咖啡杯，旁边是木墙与陈列架</x:v>
      </x:c>
      <x:c r="M6" s="26" t="str">
        <x:v>黑板与陈列架的相邻关系、咖啡主题、木墙</x:v>
      </x:c>
      <x:c r="N6" s="26" t="str">
        <x:v>没有店名，且需要进店定位内侧；手绘本身可能更新。</x:v>
      </x:c>
      <x:c r="O6" s="26" t="str">
        <x:v>原图保留。题面强调匹配黑板所在角落与架子，不要求临时手绘内容逐笔一致。</x:v>
      </x:c>
      <x:c r="P6" s="26" t="str">
        <x:v>黑板是否更换；该角落是否仍能从公共顾客区域拍摄。</x:v>
      </x:c>
      <x:c r="Q6" s="26" t="str">
        <x:v>待标注</x:v>
      </x:c>
    </x:row>
    <x:row r="7" ht="76" customHeight="1">
      <x:c r="A7" s="26" t="n">
        <x:v>2</x:v>
      </x:c>
      <x:c r="B7" s="26" t="n">
        <x:v>3</x:v>
      </x:c>
      <x:c r="C7" s="26" t="n">
        <x:v>1</x:v>
      </x:c>
      <x:c r="D7" s="26" t="str">
        <x:v>IMG_20260917_143542.jpg</x:v>
      </x:c>
      <x:c r="E7" s="26" t="str">
        <x:v>西湖文化广场北门</x:v>
      </x:c>
      <x:c r="F7" s="26" t="str">
        <x:v>西湖文化广场北门</x:v>
      </x:c>
      <x:c r="G7" s="26" t="str">
        <x:v>区域开场任务</x:v>
      </x:c>
      <x:c r="H7" s="26" t="n">
        <x:v>1</x:v>
      </x:c>
      <x:c r="I7" s="26" t="str">
        <x:v>区域1开场</x:v>
      </x:c>
      <x:c r="J7" s="26" t="str"/>
      <x:c r="K7" s="26" t="str"/>
      <x:c r="L7" s="26" t="str">
        <x:v>广场北门弧形建筑、广场文字、IMAX标志和背后高塔</x:v>
      </x:c>
      <x:c r="M7" s="26" t="str">
        <x:v>弧形建筑、北门文字、背后高塔</x:v>
      </x:c>
      <x:c r="N7" s="26" t="str">
        <x:v>场景尺度大且地点文字清晰，适合区域开场。</x:v>
      </x:c>
      <x:c r="O7" s="26" t="str">
        <x:v>单独作为区域1开场图，不进入19个普通图寻格；不遮文字。</x:v>
      </x:c>
      <x:c r="P7" s="26" t="str">
        <x:v>开场站位。区域2、3的开场图在本表未明确标出。</x:v>
      </x:c>
      <x:c r="Q7" s="26" t="str">
        <x:v>待标注</x:v>
      </x:c>
    </x:row>
    <x:row r="8" ht="76" customHeight="1">
      <x:c r="A8" s="26" t="n">
        <x:v>3</x:v>
      </x:c>
      <x:c r="B8" s="26" t="n">
        <x:v>4</x:v>
      </x:c>
      <x:c r="C8" s="26" t="n">
        <x:v>1</x:v>
      </x:c>
      <x:c r="D8" s="26" t="str">
        <x:v>IMG_20260917_144000.jpg</x:v>
      </x:c>
      <x:c r="E8" s="26" t="str">
        <x:v>浙江省博物馆外侧</x:v>
      </x:c>
      <x:c r="F8" s="26" t="str">
        <x:v>浙江省博物馆外侧</x:v>
      </x:c>
      <x:c r="G8" s="26" t="str">
        <x:v>1</x:v>
      </x:c>
      <x:c r="H8" s="26" t="n">
        <x:v>1</x:v>
      </x:c>
      <x:c r="I8" s="26" t="str">
        <x:v>正式候选</x:v>
      </x:c>
      <x:c r="J8" s="26" t="str">
        <x:v>P01</x:v>
      </x:c>
      <x:c r="K8" s="26" t="str">
        <x:v>R2C5</x:v>
      </x:c>
      <x:c r="L8" s="26" t="str">
        <x:v>浙江省博物馆灰色外墙、高挑立柱和入口</x:v>
      </x:c>
      <x:c r="M8" s="26" t="str">
        <x:v>博物馆文字、立柱、入口关系</x:v>
      </x:c>
      <x:c r="N8" s="26" t="str">
        <x:v>固定大型建筑与可读馆名同时出现。</x:v>
      </x:c>
      <x:c r="O8" s="26" t="str">
        <x:v>原样使用，避免只留下局部立柱。</x:v>
      </x:c>
      <x:c r="P8" s="26" t="str">
        <x:v>外侧入口是否开放；不要求进馆。</x:v>
      </x:c>
      <x:c r="Q8" s="26" t="str">
        <x:v>待标注</x:v>
      </x:c>
    </x:row>
    <x:row r="9" ht="76" customHeight="1">
      <x:c r="A9" s="26" t="n">
        <x:v>4</x:v>
      </x:c>
      <x:c r="B9" s="26" t="n">
        <x:v>5</x:v>
      </x:c>
      <x:c r="C9" s="26" t="n">
        <x:v>1</x:v>
      </x:c>
      <x:c r="D9" s="26" t="str">
        <x:v>IMG_20260917_144108.jpg</x:v>
      </x:c>
      <x:c r="E9" s="26" t="str">
        <x:v>西湖文化广场瑞幸咖啡侧门外</x:v>
      </x:c>
      <x:c r="F9" s="26" t="str">
        <x:v>瑞幸咖啡（西湖文化广场店）</x:v>
      </x:c>
      <x:c r="G9" s="26" t="str">
        <x:v>1</x:v>
      </x:c>
      <x:c r="H9" s="26" t="n">
        <x:v>1</x:v>
      </x:c>
      <x:c r="I9" s="26" t="str">
        <x:v>正式候选</x:v>
      </x:c>
      <x:c r="J9" s="26" t="str">
        <x:v>P02</x:v>
      </x:c>
      <x:c r="K9" s="26" t="str">
        <x:v>R1C2</x:v>
      </x:c>
      <x:c r="L9" s="26" t="str">
        <x:v>瑞幸和茉莉奶白相邻门面，斜坡扶手通向下层</x:v>
      </x:c>
      <x:c r="M9" s="26" t="str">
        <x:v>两家相邻门面、台阶和扶手</x:v>
      </x:c>
      <x:c r="N9" s="26" t="str">
        <x:v>双店名及相邻关系能排除同品牌其他门店。</x:v>
      </x:c>
      <x:c r="O9" s="26" t="str">
        <x:v>保留完整双门面，人物不是复刻条件。</x:v>
      </x:c>
      <x:c r="P9" s="26" t="str">
        <x:v>门店外立面是否变化。</x:v>
      </x:c>
      <x:c r="Q9" s="26" t="str">
        <x:v>待标注</x:v>
      </x:c>
    </x:row>
    <x:row r="10" ht="76" customHeight="1">
      <x:c r="A10" s="26" t="n">
        <x:v>5</x:v>
      </x:c>
      <x:c r="B10" s="26" t="n">
        <x:v>6</x:v>
      </x:c>
      <x:c r="C10" s="26" t="n">
        <x:v>1</x:v>
      </x:c>
      <x:c r="D10" s="26" t="str">
        <x:v>IMG_20260917_144223.jpg</x:v>
      </x:c>
      <x:c r="E10" s="26" t="str">
        <x:v>银泰百货（西湖文化广场店）一楼装饰物</x:v>
      </x:c>
      <x:c r="F10" s="26" t="str">
        <x:v>银泰百货（西湖文化广场店）一楼装饰物</x:v>
      </x:c>
      <x:c r="G10" s="26" t="str">
        <x:v>3</x:v>
      </x:c>
      <x:c r="H10" s="26" t="n">
        <x:v>3</x:v>
      </x:c>
      <x:c r="I10" s="26" t="str">
        <x:v>正式候选</x:v>
      </x:c>
      <x:c r="J10" s="26" t="str">
        <x:v>P17</x:v>
      </x:c>
      <x:c r="K10" s="26" t="str">
        <x:v>R2C2</x:v>
      </x:c>
      <x:c r="L10" s="26" t="str">
        <x:v>银泰内黄色小猪拿粉色花朵的摆件，背后鞋类品牌墙</x:v>
      </x:c>
      <x:c r="M10" s="26" t="str">
        <x:v>小猪与花的形状、后方品牌墙</x:v>
      </x:c>
      <x:c r="N10" s="26" t="str">
        <x:v>装饰物辨识度高，但没有楼层；找到商场后仍要定位展台。</x:v>
      </x:c>
      <x:c r="O10" s="26" t="str">
        <x:v>保留摆件全貌及后方品牌墙，不裁成纯小猪头像。</x:v>
      </x:c>
      <x:c r="P10" s="26" t="str">
        <x:v>摆件是否移动或撤下，后台记录一楼。</x:v>
      </x:c>
      <x:c r="Q10" s="26" t="str">
        <x:v>待标注</x:v>
      </x:c>
    </x:row>
    <x:row r="11" ht="76" customHeight="1">
      <x:c r="A11" s="26" t="n">
        <x:v>6</x:v>
      </x:c>
      <x:c r="B11" s="26" t="n">
        <x:v>7</x:v>
      </x:c>
      <x:c r="C11" s="26" t="n">
        <x:v>1</x:v>
      </x:c>
      <x:c r="D11" s="26" t="str">
        <x:v>IMG_20260917_144720.jpg</x:v>
      </x:c>
      <x:c r="E11" s="26" t="str">
        <x:v>银泰百货（西湖文化广场店）三楼装饰物</x:v>
      </x:c>
      <x:c r="F11" s="26" t="str">
        <x:v>银泰百货（西湖文化广场店）三楼装饰物</x:v>
      </x:c>
      <x:c r="G11" s="26" t="str">
        <x:v>3</x:v>
      </x:c>
      <x:c r="H11" s="26" t="n">
        <x:v>3</x:v>
      </x:c>
      <x:c r="I11" s="26" t="str">
        <x:v>备用</x:v>
      </x:c>
      <x:c r="J11" s="26" t="str"/>
      <x:c r="K11" s="26" t="str"/>
      <x:c r="L11" s="26" t="str">
        <x:v>玻璃栏杆旁花草景观，远处粉色装饰</x:v>
      </x:c>
      <x:c r="M11" s="26" t="str">
        <x:v>栏杆节点、花坛与周边店铺关系</x:v>
      </x:c>
      <x:c r="N11" s="26" t="str">
        <x:v>植物常见且可能更换，可靠定位线索少。</x:v>
      </x:c>
      <x:c r="O11" s="26" t="str">
        <x:v>作为备用；启用时需给三楼范围或补拍带固定门面的同一花坛。</x:v>
      </x:c>
      <x:c r="P11" s="26" t="str">
        <x:v>花坛是否移动，三楼是否准确。</x:v>
      </x:c>
      <x:c r="Q11" s="26" t="str">
        <x:v>待标注</x:v>
      </x:c>
    </x:row>
    <x:row r="12" ht="76" customHeight="1">
      <x:c r="A12" s="26" t="n">
        <x:v>7</x:v>
      </x:c>
      <x:c r="B12" s="26" t="n">
        <x:v>8</x:v>
      </x:c>
      <x:c r="C12" s="26" t="n">
        <x:v>1</x:v>
      </x:c>
      <x:c r="D12" s="26" t="str">
        <x:v>IMG_20260917_145305.jpg</x:v>
      </x:c>
      <x:c r="E12" s="26" t="str">
        <x:v>银泰百货（西湖文化广场店）五楼新白鹿</x:v>
      </x:c>
      <x:c r="F12" s="26" t="str">
        <x:v>银泰百货（西湖文化广场店）五楼新白鹿</x:v>
      </x:c>
      <x:c r="G12" s="26" t="str">
        <x:v>3</x:v>
      </x:c>
      <x:c r="H12" s="26" t="n">
        <x:v>3</x:v>
      </x:c>
      <x:c r="I12" s="26" t="str">
        <x:v>正式候选</x:v>
      </x:c>
      <x:c r="J12" s="26" t="str">
        <x:v>P18</x:v>
      </x:c>
      <x:c r="K12" s="26" t="str">
        <x:v>R4C1</x:v>
      </x:c>
      <x:c r="L12" s="26" t="str">
        <x:v>新白鹿门外鹿头、红色树叶墙和发光店名</x:v>
      </x:c>
      <x:c r="M12" s="26" t="str">
        <x:v>鹿头、红叶墙、店名同时保留</x:v>
      </x:c>
      <x:c r="N12" s="26" t="str">
        <x:v>店铺可识别，但位于五楼，难度主要来自跨层寻找具体门外装饰。</x:v>
      </x:c>
      <x:c r="O12" s="26" t="str">
        <x:v>保留店名，不通过遮店名额外增难；不要求进餐厅。</x:v>
      </x:c>
      <x:c r="P12" s="26" t="str">
        <x:v>五楼门外可达性。</x:v>
      </x:c>
      <x:c r="Q12" s="26" t="str">
        <x:v>待标注</x:v>
      </x:c>
    </x:row>
    <x:row r="13" ht="76" customHeight="1">
      <x:c r="A13" s="26" t="n">
        <x:v>8</x:v>
      </x:c>
      <x:c r="B13" s="26" t="n">
        <x:v>9</x:v>
      </x:c>
      <x:c r="C13" s="26" t="n">
        <x:v>1</x:v>
      </x:c>
      <x:c r="D13" s="26" t="str">
        <x:v>IMG_20260917_145427.jpg</x:v>
      </x:c>
      <x:c r="E13" s="26" t="str">
        <x:v>银泰百货（西湖文化广场店）五楼栏杆边</x:v>
      </x:c>
      <x:c r="F13" s="26" t="str">
        <x:v>银泰百货（西湖文化广场店）一楼中庭</x:v>
      </x:c>
      <x:c r="G13" s="26" t="str">
        <x:v>3</x:v>
      </x:c>
      <x:c r="H13" s="26" t="n">
        <x:v>3</x:v>
      </x:c>
      <x:c r="I13" s="26" t="str">
        <x:v>备用</x:v>
      </x:c>
      <x:c r="J13" s="26" t="str"/>
      <x:c r="K13" s="26" t="str"/>
      <x:c r="L13" s="26" t="str">
        <x:v>从五楼栏杆向下拍的悬挂矩形板和底部中庭</x:v>
      </x:c>
      <x:c r="M13" s="26" t="str">
        <x:v>悬挂板与中庭关系、原拍摄方向</x:v>
      </x:c>
      <x:c r="N13" s="26" t="str">
        <x:v>主体大面积空白，易随广告变化；只按空板找可能造成混淆。</x:v>
      </x:c>
      <x:c r="O13" s="26" t="str">
        <x:v>作为备用，不凭空补画广告；启用应补拍更多固定栏杆和中庭结构。</x:v>
      </x:c>
      <x:c r="P13" s="26" t="str">
        <x:v>D列是五楼拍摄点，E列是一楼中庭目标，两者应分别记录。</x:v>
      </x:c>
      <x:c r="Q13" s="26" t="str">
        <x:v>待标注</x:v>
      </x:c>
    </x:row>
    <x:row r="14" ht="76" customHeight="1">
      <x:c r="A14" s="26" t="n">
        <x:v>9</x:v>
      </x:c>
      <x:c r="B14" s="26" t="n">
        <x:v>10</x:v>
      </x:c>
      <x:c r="C14" s="26" t="n">
        <x:v>1</x:v>
      </x:c>
      <x:c r="D14" s="26" t="str">
        <x:v>IMG_20260917_145934.jpg</x:v>
      </x:c>
      <x:c r="E14" s="26" t="str">
        <x:v>银泰百货（西湖文化广场店）四楼电梯对侧</x:v>
      </x:c>
      <x:c r="F14" s="26" t="str">
        <x:v>路易杜鹏（西湖文化广场店）</x:v>
      </x:c>
      <x:c r="G14" s="26" t="str">
        <x:v>2</x:v>
      </x:c>
      <x:c r="H14" s="26" t="n">
        <x:v>2</x:v>
      </x:c>
      <x:c r="I14" s="26" t="str">
        <x:v>正式候选</x:v>
      </x:c>
      <x:c r="J14" s="26" t="str">
        <x:v>P07</x:v>
      </x:c>
      <x:c r="K14" s="26" t="str">
        <x:v>R5C1</x:v>
      </x:c>
      <x:c r="L14" s="26" t="str">
        <x:v>多层玻璃观光电梯，对侧服装门面</x:v>
      </x:c>
      <x:c r="M14" s="26" t="str">
        <x:v>玻璃电梯竖向结构、对侧门面与栏杆</x:v>
      </x:c>
      <x:c r="N14" s="26" t="str">
        <x:v>可辨商场内部，但需要定位四楼观察点。</x:v>
      </x:c>
      <x:c r="O14" s="26" t="str">
        <x:v>原样使用；审核核对楼层及观景方向，不只核对电梯。</x:v>
      </x:c>
      <x:c r="P14" s="26" t="str">
        <x:v>四楼路易杜鹏对侧是否仍适合拍摄。</x:v>
      </x:c>
      <x:c r="Q14" s="26" t="str">
        <x:v>待标注</x:v>
      </x:c>
    </x:row>
    <x:row r="15" ht="76" customHeight="1">
      <x:c r="A15" s="26" t="n">
        <x:v>10</x:v>
      </x:c>
      <x:c r="B15" s="26" t="n">
        <x:v>11</x:v>
      </x:c>
      <x:c r="C15" s="26" t="n">
        <x:v>1</x:v>
      </x:c>
      <x:c r="D15" s="26" t="str">
        <x:v>IMG_20260917_150543.jpg</x:v>
      </x:c>
      <x:c r="E15" s="26" t="str">
        <x:v>西湖文化广场世纪联华地下入口处</x:v>
      </x:c>
      <x:c r="F15" s="26" t="str">
        <x:v>西湖文化广场世纪联华地下入口处</x:v>
      </x:c>
      <x:c r="G15" s="26" t="str">
        <x:v>1</x:v>
      </x:c>
      <x:c r="H15" s="26" t="n">
        <x:v>1</x:v>
      </x:c>
      <x:c r="I15" s="26" t="str">
        <x:v>正式候选</x:v>
      </x:c>
      <x:c r="J15" s="26" t="str">
        <x:v>P03</x:v>
      </x:c>
      <x:c r="K15" s="26" t="str">
        <x:v>R5C2</x:v>
      </x:c>
      <x:c r="L15" s="26" t="str">
        <x:v>世纪联华地下入口，蓝色中英文大招牌及下层餐饮</x:v>
      </x:c>
      <x:c r="M15" s="26" t="str">
        <x:v>入口顶棚、世纪联华文字、下行空间</x:v>
      </x:c>
      <x:c r="N15" s="26" t="str">
        <x:v>大型招牌直指地点，定位线索充分。</x:v>
      </x:c>
      <x:c r="O15" s="26" t="str">
        <x:v>保留招牌和地下入口，不只裁文字。</x:v>
      </x:c>
      <x:c r="P15" s="26" t="str">
        <x:v>地下入口通行情况。</x:v>
      </x:c>
      <x:c r="Q15" s="26" t="str">
        <x:v>待标注</x:v>
      </x:c>
    </x:row>
    <x:row r="16" ht="76" customHeight="1">
      <x:c r="A16" s="26" t="n">
        <x:v>11</x:v>
      </x:c>
      <x:c r="B16" s="26" t="n">
        <x:v>12</x:v>
      </x:c>
      <x:c r="C16" s="26" t="n">
        <x:v>1</x:v>
      </x:c>
      <x:c r="D16" s="26" t="str">
        <x:v>IMG_20260917_150700.jpg</x:v>
      </x:c>
      <x:c r="E16" s="26" t="str">
        <x:v>西湖文化广场地下一层壁画处</x:v>
      </x:c>
      <x:c r="F16" s="26" t="str">
        <x:v>西湖文化广场地下一层壁画处</x:v>
      </x:c>
      <x:c r="G16" s="26" t="str">
        <x:v>3</x:v>
      </x:c>
      <x:c r="H16" s="26" t="n">
        <x:v>3</x:v>
      </x:c>
      <x:c r="I16" s="26" t="str">
        <x:v>正式候选</x:v>
      </x:c>
      <x:c r="J16" s="26" t="str">
        <x:v>P19</x:v>
      </x:c>
      <x:c r="K16" s="26" t="str">
        <x:v>R1C3</x:v>
      </x:c>
      <x:c r="L16" s="26" t="str">
        <x:v>地下墙面奔马壁画，右侧黑扶手与转角</x:v>
      </x:c>
      <x:c r="M16" s="26" t="str">
        <x:v>奔马壁画、黑扶手、墙面竖条</x:v>
      </x:c>
      <x:c r="N16" s="26" t="str">
        <x:v>独特但没有品牌与方向信息，需要在地下空间搜寻。</x:v>
      </x:c>
      <x:c r="O16" s="26" t="str">
        <x:v>保留整组奔马与右侧扶手，允许细看，不遮壁画。</x:v>
      </x:c>
      <x:c r="P16" s="26" t="str">
        <x:v>壁画是否仍在同一入口转角。</x:v>
      </x:c>
      <x:c r="Q16" s="26" t="str">
        <x:v>待标注</x:v>
      </x:c>
    </x:row>
    <x:row r="17" ht="76" customHeight="1">
      <x:c r="A17" s="26" t="n">
        <x:v>12</x:v>
      </x:c>
      <x:c r="B17" s="26" t="n">
        <x:v>13</x:v>
      </x:c>
      <x:c r="C17" s="26" t="n">
        <x:v>1</x:v>
      </x:c>
      <x:c r="D17" s="26" t="str">
        <x:v>IMG_20260917_150825.jpg</x:v>
      </x:c>
      <x:c r="E17" s="26" t="str">
        <x:v>西湖文化广场环球大厦入口处</x:v>
      </x:c>
      <x:c r="F17" s="26" t="str">
        <x:v>西湖文化广场环球大厦入口处</x:v>
      </x:c>
      <x:c r="G17" s="26" t="str">
        <x:v>2</x:v>
      </x:c>
      <x:c r="H17" s="26" t="n">
        <x:v>2</x:v>
      </x:c>
      <x:c r="I17" s="26" t="str">
        <x:v>正式候选</x:v>
      </x:c>
      <x:c r="J17" s="26" t="str">
        <x:v>P08</x:v>
      </x:c>
      <x:c r="K17" s="26" t="str">
        <x:v>R4C4</x:v>
      </x:c>
      <x:c r="L17" s="26" t="str">
        <x:v>仰拍环球大厦，顶部外挑和竖向折线</x:v>
      </x:c>
      <x:c r="M17" s="26" t="str">
        <x:v>塔顶轮廓、建筑折线、底部入口</x:v>
      </x:c>
      <x:c r="N17" s="26" t="str">
        <x:v>楼可见性高，但复刻视角需要靠近具体入口。</x:v>
      </x:c>
      <x:c r="O17" s="26" t="str">
        <x:v>保留塔顶与底部边缘，不能只给天空或玻璃格纹。</x:v>
      </x:c>
      <x:c r="P17" s="26" t="str">
        <x:v>站位不应要求进入非公开办公区。</x:v>
      </x:c>
      <x:c r="Q17" s="26" t="str">
        <x:v>待标注</x:v>
      </x:c>
    </x:row>
    <x:row r="18" ht="76" customHeight="1">
      <x:c r="A18" s="26" t="n">
        <x:v>13</x:v>
      </x:c>
      <x:c r="B18" s="26" t="n">
        <x:v>14</x:v>
      </x:c>
      <x:c r="C18" s="26" t="n">
        <x:v>1</x:v>
      </x:c>
      <x:c r="D18" s="26" t="str">
        <x:v>IMG_20260917_151053.jpg</x:v>
      </x:c>
      <x:c r="E18" s="26" t="str">
        <x:v>西湖文化广场球幕影院外侧</x:v>
      </x:c>
      <x:c r="F18" s="26" t="str">
        <x:v>西湖文化广场球幕影院外侧</x:v>
      </x:c>
      <x:c r="G18" s="26" t="str">
        <x:v>2</x:v>
      </x:c>
      <x:c r="H18" s="26" t="n">
        <x:v>2</x:v>
      </x:c>
      <x:c r="I18" s="26" t="str">
        <x:v>正式候选</x:v>
      </x:c>
      <x:c r="J18" s="26" t="str">
        <x:v>P09</x:v>
      </x:c>
      <x:c r="K18" s="26" t="str">
        <x:v>R5C5</x:v>
      </x:c>
      <x:c r="L18" s="26" t="str">
        <x:v>球幕影院球形立面和NEW FUTURE标识</x:v>
      </x:c>
      <x:c r="M18" s="26" t="str">
        <x:v>球体分格、底部支撑及影院文字</x:v>
      </x:c>
      <x:c r="N18" s="26" t="str">
        <x:v>建筑很独特，地点辨认容易，但要找到相应侧面视角。</x:v>
      </x:c>
      <x:c r="O18" s="26" t="str">
        <x:v>保持球体全貌，仍按原表中级处理。</x:v>
      </x:c>
      <x:c r="P18" s="26" t="str">
        <x:v>影院外侧开放范围。</x:v>
      </x:c>
      <x:c r="Q18" s="26" t="str">
        <x:v>待标注</x:v>
      </x:c>
    </x:row>
    <x:row r="19" ht="76" customHeight="1">
      <x:c r="A19" s="26" t="n">
        <x:v>14</x:v>
      </x:c>
      <x:c r="B19" s="26" t="n">
        <x:v>15</x:v>
      </x:c>
      <x:c r="C19" s="26" t="n">
        <x:v>1</x:v>
      </x:c>
      <x:c r="D19" s="26" t="str">
        <x:v>IMG_20260917_151237.jpg</x:v>
      </x:c>
      <x:c r="E19" s="26" t="str">
        <x:v>西湖文化广场地下入口处</x:v>
      </x:c>
      <x:c r="F19" s="26" t="str">
        <x:v>西湖文化广场地下入口处</x:v>
      </x:c>
      <x:c r="G19" s="26" t="str">
        <x:v>2</x:v>
      </x:c>
      <x:c r="H19" s="26" t="n">
        <x:v>2</x:v>
      </x:c>
      <x:c r="I19" s="26" t="str">
        <x:v>正式候选</x:v>
      </x:c>
      <x:c r="J19" s="26" t="str">
        <x:v>P10</x:v>
      </x:c>
      <x:c r="K19" s="26" t="str">
        <x:v>R4C5</x:v>
      </x:c>
      <x:c r="L19" s="26" t="str">
        <x:v>室外向下的地下阶梯，石墙扶手和底部门面</x:v>
      </x:c>
      <x:c r="M19" s="26" t="str">
        <x:v>下行台阶、左右墙体、底部门面</x:v>
      </x:c>
      <x:c r="N19" s="26" t="str">
        <x:v>地下入口较多，需靠结构及门面组合区分。</x:v>
      </x:c>
      <x:c r="O19" s="26" t="str">
        <x:v>保留两侧墙与底部门面，勿只截取楼梯。</x:v>
      </x:c>
      <x:c r="P19" s="26" t="str">
        <x:v>不要与#24入口仅按同一区域合并。</x:v>
      </x:c>
      <x:c r="Q19" s="26" t="str">
        <x:v>待标注</x:v>
      </x:c>
    </x:row>
    <x:row r="20" ht="76" customHeight="1">
      <x:c r="A20" s="26" t="n">
        <x:v>15</x:v>
      </x:c>
      <x:c r="B20" s="26" t="n">
        <x:v>16</x:v>
      </x:c>
      <x:c r="C20" s="26" t="n">
        <x:v>1</x:v>
      </x:c>
      <x:c r="D20" s="26" t="str">
        <x:v>IMG_20260917_151402.jpg</x:v>
      </x:c>
      <x:c r="E20" s="26" t="str">
        <x:v>杭州运河海底世界入口处</x:v>
      </x:c>
      <x:c r="F20" s="26" t="str">
        <x:v>杭州运河海底世界入口处</x:v>
      </x:c>
      <x:c r="G20" s="26" t="str">
        <x:v>2</x:v>
      </x:c>
      <x:c r="H20" s="26" t="n">
        <x:v>2</x:v>
      </x:c>
      <x:c r="I20" s="26" t="str">
        <x:v>正式候选</x:v>
      </x:c>
      <x:c r="J20" s="26" t="str">
        <x:v>P11</x:v>
      </x:c>
      <x:c r="K20" s="26" t="str">
        <x:v>R1C5</x:v>
      </x:c>
      <x:c r="L20" s="26" t="str">
        <x:v>海底世界蓝色海洋风阶梯通道，尽头红色入口字</x:v>
      </x:c>
      <x:c r="M20" s="26" t="str">
        <x:v>蓝色拱形梁、海洋壁画、下行阶梯</x:v>
      </x:c>
      <x:c r="N20" s="26" t="str">
        <x:v>颜色强烈，但仍需找到地下入口；入口文字不是唯一线索。</x:v>
      </x:c>
      <x:c r="O20" s="26" t="str">
        <x:v>保留全部通道结构，不要求购票进入。</x:v>
      </x:c>
      <x:c r="P20" s="26" t="str">
        <x:v>入口外侧可拍范围。</x:v>
      </x:c>
      <x:c r="Q20" s="26" t="str">
        <x:v>待标注</x:v>
      </x:c>
    </x:row>
    <x:row r="21" ht="76" customHeight="1">
      <x:c r="A21" s="26" t="n">
        <x:v>16</x:v>
      </x:c>
      <x:c r="B21" s="26" t="n">
        <x:v>17</x:v>
      </x:c>
      <x:c r="C21" s="26" t="n">
        <x:v>1</x:v>
      </x:c>
      <x:c r="D21" s="26" t="str">
        <x:v>IMG_20260917_151710.jpg</x:v>
      </x:c>
      <x:c r="E21" s="26" t="str">
        <x:v>武林门码头</x:v>
      </x:c>
      <x:c r="F21" s="26" t="str">
        <x:v>西湖文化广场河岸处</x:v>
      </x:c>
      <x:c r="G21" s="26" t="str">
        <x:v>1</x:v>
      </x:c>
      <x:c r="H21" s="26" t="n">
        <x:v>1</x:v>
      </x:c>
      <x:c r="I21" s="26" t="str">
        <x:v>正式候选</x:v>
      </x:c>
      <x:c r="J21" s="26" t="str">
        <x:v>P04</x:v>
      </x:c>
      <x:c r="K21" s="26" t="str">
        <x:v>R2C1</x:v>
      </x:c>
      <x:c r="L21" s="26" t="str">
        <x:v>隔河拍码头、游船及对岸大楼</x:v>
      </x:c>
      <x:c r="M21" s="26" t="str">
        <x:v>码头文字、台阶、河岸及背景大楼</x:v>
      </x:c>
      <x:c r="N21" s="26" t="str">
        <x:v>码头文字直白，河岸定位可靠；实际拍摄在对岸。</x:v>
      </x:c>
      <x:c r="O21" s="26" t="str">
        <x:v>保留码头和背景，不仅给游船；船不作为必须复刻的对象。</x:v>
      </x:c>
      <x:c r="P21" s="26" t="str">
        <x:v>工作人员确认拍摄岸边，不能把目标码头误写成必须到达的位置。</x:v>
      </x:c>
      <x:c r="Q21" s="26" t="str">
        <x:v>待标注</x:v>
      </x:c>
    </x:row>
    <x:row r="22" ht="76" customHeight="1">
      <x:c r="A22" s="26" t="n">
        <x:v>17</x:v>
      </x:c>
      <x:c r="B22" s="26" t="n">
        <x:v>18</x:v>
      </x:c>
      <x:c r="C22" s="26" t="n">
        <x:v>1</x:v>
      </x:c>
      <x:c r="D22" s="26" t="str">
        <x:v>IMG_20260917_151855.jpg</x:v>
      </x:c>
      <x:c r="E22" s="26" t="str">
        <x:v>京杭大运河彼岸花坛</x:v>
      </x:c>
      <x:c r="F22" s="26" t="str">
        <x:v>西湖文化广场河岸处</x:v>
      </x:c>
      <x:c r="G22" s="26" t="str">
        <x:v>3</x:v>
      </x:c>
      <x:c r="H22" s="26" t="n">
        <x:v>3</x:v>
      </x:c>
      <x:c r="I22" s="26" t="str">
        <x:v>备用</x:v>
      </x:c>
      <x:c r="J22" s="26" t="str"/>
      <x:c r="K22" s="26" t="str"/>
      <x:c r="L22" s="26" t="str">
        <x:v>前景红色彼岸花，背景河道与大楼</x:v>
      </x:c>
      <x:c r="M22" s="26" t="str">
        <x:v>河道与楼群的空间关系</x:v>
      </x:c>
      <x:c r="N22" s="26" t="str">
        <x:v>花是季节性线索，位置和花期可能变化，容易把短期状态当成地点。</x:v>
      </x:c>
      <x:c r="O22" s="26" t="str">
        <x:v>作为备用；启用时只要求河岸背景匹配，或补拍固定河岸设施。</x:v>
      </x:c>
      <x:c r="P22" s="26" t="str">
        <x:v>花期、是否有唯一固定花坛边界。</x:v>
      </x:c>
      <x:c r="Q22" s="26" t="str">
        <x:v>待标注</x:v>
      </x:c>
    </x:row>
    <x:row r="23" ht="76" customHeight="1">
      <x:c r="A23" s="26" t="n">
        <x:v>18</x:v>
      </x:c>
      <x:c r="B23" s="26" t="n">
        <x:v>19</x:v>
      </x:c>
      <x:c r="C23" s="26" t="n">
        <x:v>1</x:v>
      </x:c>
      <x:c r="D23" s="26" t="str">
        <x:v>IMG_20260917_152222.jpg</x:v>
      </x:c>
      <x:c r="E23" s="26" t="str">
        <x:v>浙江省科技馆南门</x:v>
      </x:c>
      <x:c r="F23" s="26" t="str">
        <x:v>浙江省科技馆南门</x:v>
      </x:c>
      <x:c r="G23" s="26" t="str">
        <x:v>1</x:v>
      </x:c>
      <x:c r="H23" s="26" t="n">
        <x:v>1</x:v>
      </x:c>
      <x:c r="I23" s="26" t="str">
        <x:v>正式候选</x:v>
      </x:c>
      <x:c r="J23" s="26" t="str">
        <x:v>P05</x:v>
      </x:c>
      <x:c r="K23" s="26" t="str">
        <x:v>R1C4</x:v>
      </x:c>
      <x:c r="L23" s="26" t="str">
        <x:v>浙江省科技馆外墙大字与英文馆名</x:v>
      </x:c>
      <x:c r="M23" s="26" t="str">
        <x:v>馆名字样、石砖墙及大楼关系</x:v>
      </x:c>
      <x:c r="N23" s="26" t="str">
        <x:v>明确固定馆名，适合容易题。</x:v>
      </x:c>
      <x:c r="O23" s="26" t="str">
        <x:v>保留完整中文和英文馆名，不要求入馆。</x:v>
      </x:c>
      <x:c r="P23" s="26" t="str">
        <x:v>南门附近拍摄点。</x:v>
      </x:c>
      <x:c r="Q23" s="26" t="str">
        <x:v>待标注</x:v>
      </x:c>
    </x:row>
    <x:row r="24" ht="76" customHeight="1">
      <x:c r="A24" s="26" t="n">
        <x:v>19</x:v>
      </x:c>
      <x:c r="B24" s="26" t="n">
        <x:v>20</x:v>
      </x:c>
      <x:c r="C24" s="26" t="n">
        <x:v>1</x:v>
      </x:c>
      <x:c r="D24" s="26" t="str">
        <x:v>IMG_20260917_152621.jpg</x:v>
      </x:c>
      <x:c r="E24" s="26" t="str">
        <x:v>popome儿童乐园二楼楼梯拐角处</x:v>
      </x:c>
      <x:c r="F24" s="26" t="str">
        <x:v>POPOME泡泡米益智乐园（西湖文化广场店）</x:v>
      </x:c>
      <x:c r="G24" s="26" t="str">
        <x:v>2</x:v>
      </x:c>
      <x:c r="H24" s="26" t="n">
        <x:v>2</x:v>
      </x:c>
      <x:c r="I24" s="26" t="str">
        <x:v>正式候选</x:v>
      </x:c>
      <x:c r="J24" s="26" t="str">
        <x:v>P12</x:v>
      </x:c>
      <x:c r="K24" s="26" t="str">
        <x:v>R2C4</x:v>
      </x:c>
      <x:c r="L24" s="26" t="str">
        <x:v>从楼梯转角俯拍彩色三角地面、青绿色桌椅和黄色球头柱</x:v>
      </x:c>
      <x:c r="M24" s="26" t="str">
        <x:v>黄色球头柱、三角拼色地面、玻璃和桌椅</x:v>
      </x:c>
      <x:c r="N24" s="26" t="str">
        <x:v>不直接给店名，需辨认儿童乐园并寻找俯拍角度。</x:v>
      </x:c>
      <x:c r="O24" s="26" t="str">
        <x:v>保留三项特征与俯拍角度；与#20只正式选一张。</x:v>
      </x:c>
      <x:c r="P24" s="26" t="str">
        <x:v>二楼公共楼梯转角是否可达；不用把可移动桌椅位置当唯一依据。</x:v>
      </x:c>
      <x:c r="Q24" s="26" t="str">
        <x:v>待标注</x:v>
      </x:c>
    </x:row>
    <x:row r="25" ht="76" customHeight="1">
      <x:c r="A25" s="26" t="n">
        <x:v>20</x:v>
      </x:c>
      <x:c r="B25" s="26" t="n">
        <x:v>21</x:v>
      </x:c>
      <x:c r="C25" s="26" t="n">
        <x:v>1</x:v>
      </x:c>
      <x:c r="D25" s="26" t="str">
        <x:v>IMG_20260917_152637.jpg</x:v>
      </x:c>
      <x:c r="E25" s="26" t="str">
        <x:v>popome儿童乐园一楼</x:v>
      </x:c>
      <x:c r="F25" s="26" t="str">
        <x:v>POPOME泡泡米益智乐园（西湖文化广场店）</x:v>
      </x:c>
      <x:c r="G25" s="26" t="str">
        <x:v>2</x:v>
      </x:c>
      <x:c r="H25" s="26" t="n">
        <x:v>2</x:v>
      </x:c>
      <x:c r="I25" s="26" t="str">
        <x:v>备用</x:v>
      </x:c>
      <x:c r="J25" s="26" t="str"/>
      <x:c r="K25" s="26" t="str"/>
      <x:c r="L25" s="26" t="str">
        <x:v>一楼近拍黄色球头扶手柱、楼梯及几何拼色地面</x:v>
      </x:c>
      <x:c r="M25" s="26" t="str">
        <x:v>球头柱、几何地面、楼梯</x:v>
      </x:c>
      <x:c r="N25" s="26" t="str">
        <x:v>与#19高度重合，同题库会让找一处顺便解锁两格。</x:v>
      </x:c>
      <x:c r="O25" s="26" t="str">
        <x:v>作为#19替补；不同时放入两个正式格。</x:v>
      </x:c>
      <x:c r="P25" s="26" t="str">
        <x:v>一楼与二楼站位分别记录。</x:v>
      </x:c>
      <x:c r="Q25" s="26" t="str">
        <x:v>待标注</x:v>
      </x:c>
    </x:row>
    <x:row r="26" ht="76" customHeight="1">
      <x:c r="A26" s="26" t="n">
        <x:v>21</x:v>
      </x:c>
      <x:c r="B26" s="26" t="n">
        <x:v>22</x:v>
      </x:c>
      <x:c r="C26" s="26" t="n">
        <x:v>1</x:v>
      </x:c>
      <x:c r="D26" s="26" t="str">
        <x:v>IMG_20260917_152919.jpg</x:v>
      </x:c>
      <x:c r="E26" s="26" t="str">
        <x:v>银泰百货（西湖文化广场店）一楼野人先生</x:v>
      </x:c>
      <x:c r="F26" s="26" t="str">
        <x:v>野人先生（西湖文化广场店）</x:v>
      </x:c>
      <x:c r="G26" s="26" t="str">
        <x:v>1</x:v>
      </x:c>
      <x:c r="H26" s="26" t="n">
        <x:v>1</x:v>
      </x:c>
      <x:c r="I26" s="26" t="str">
        <x:v>正式候选</x:v>
      </x:c>
      <x:c r="J26" s="26" t="str">
        <x:v>P06</x:v>
      </x:c>
      <x:c r="K26" s="26" t="str">
        <x:v>R4C3</x:v>
      </x:c>
      <x:c r="L26" s="26" t="str">
        <x:v>野人先生冰淇淋柜台、发光招牌与相邻门面</x:v>
      </x:c>
      <x:c r="M26" s="26" t="str">
        <x:v>店名、木色柜台转角与相邻门面</x:v>
      </x:c>
      <x:c r="N26" s="26" t="str">
        <x:v>店名明确且一楼公共通道易辨认。</x:v>
      </x:c>
      <x:c r="O26" s="26" t="str">
        <x:v>原样使用，不要求消费，不以排队顾客位置为复刻依据。</x:v>
      </x:c>
      <x:c r="P26" s="26" t="str">
        <x:v>招牌与柜台是否变化。</x:v>
      </x:c>
      <x:c r="Q26" s="26" t="str">
        <x:v>待标注</x:v>
      </x:c>
    </x:row>
    <x:row r="27" ht="76" customHeight="1">
      <x:c r="A27" s="26" t="n">
        <x:v>22</x:v>
      </x:c>
      <x:c r="B27" s="26" t="n">
        <x:v>23</x:v>
      </x:c>
      <x:c r="C27" s="26" t="n">
        <x:v>1</x:v>
      </x:c>
      <x:c r="D27" s="26" t="str">
        <x:v>IMG_20260917_153305.jpg</x:v>
      </x:c>
      <x:c r="E27" s="26" t="str">
        <x:v>西湖文化广场环球大厦内</x:v>
      </x:c>
      <x:c r="F27" s="26" t="str">
        <x:v>西湖文化广场环球大厦内</x:v>
      </x:c>
      <x:c r="G27" s="26" t="str">
        <x:v>2</x:v>
      </x:c>
      <x:c r="H27" s="26" t="n">
        <x:v>2</x:v>
      </x:c>
      <x:c r="I27" s="26" t="str">
        <x:v>正式候选</x:v>
      </x:c>
      <x:c r="J27" s="26" t="str">
        <x:v>P13</x:v>
      </x:c>
      <x:c r="K27" s="26" t="str">
        <x:v>R3C1</x:v>
      </x:c>
      <x:c r="L27" s="26" t="str">
        <x:v>抬头拍环球大厦室内玻璃天窗与外侧建筑边缘</x:v>
      </x:c>
      <x:c r="M27" s="26" t="str">
        <x:v>天窗横梁、左侧外墙、底部弧线</x:v>
      </x:c>
      <x:c r="N27" s="26" t="str">
        <x:v>只凭天窗容易撞景，但建筑边缘组合可区分。</x:v>
      </x:c>
      <x:c r="O27" s="26" t="str">
        <x:v>保留左侧楼体和下方结构，不裁成纯横梁。</x:v>
      </x:c>
      <x:c r="P27" s="26" t="str">
        <x:v>可公开进入的天窗位置。</x:v>
      </x:c>
      <x:c r="Q27" s="26" t="str">
        <x:v>待标注</x:v>
      </x:c>
    </x:row>
    <x:row r="28" ht="76" customHeight="1">
      <x:c r="A28" s="26" t="n">
        <x:v>23</x:v>
      </x:c>
      <x:c r="B28" s="26" t="n">
        <x:v>24</x:v>
      </x:c>
      <x:c r="C28" s="26" t="n">
        <x:v>1</x:v>
      </x:c>
      <x:c r="D28" s="26" t="str">
        <x:v>IMG_20260917_153450.jpg</x:v>
      </x:c>
      <x:c r="E28" s="26" t="str">
        <x:v>西湖文化广场中央花坛</x:v>
      </x:c>
      <x:c r="F28" s="26" t="str">
        <x:v>西湖文化广场中央花坛</x:v>
      </x:c>
      <x:c r="G28" s="26" t="str">
        <x:v>2</x:v>
      </x:c>
      <x:c r="H28" s="26" t="n">
        <x:v>2</x:v>
      </x:c>
      <x:c r="I28" s="26" t="str">
        <x:v>正式候选</x:v>
      </x:c>
      <x:c r="J28" s="26" t="str">
        <x:v>P14</x:v>
      </x:c>
      <x:c r="K28" s="26" t="str">
        <x:v>R3C2</x:v>
      </x:c>
      <x:c r="L28" s="26" t="str">
        <x:v>中央步道、成对圆头灯、对称花坛及远处楼群</x:v>
      </x:c>
      <x:c r="M28" s="26" t="str">
        <x:v>左右灯具、中央轴线和楼群</x:v>
      </x:c>
      <x:c r="N28" s="26" t="str">
        <x:v>广场开阔，需匹配拍摄轴线，单个花坛不是唯一线索。</x:v>
      </x:c>
      <x:c r="O28" s="26" t="str">
        <x:v>保留成对灯和远景；不要求花卉种类与天空一致。</x:v>
      </x:c>
      <x:c r="P28" s="26" t="str">
        <x:v>中心步道范围。</x:v>
      </x:c>
      <x:c r="Q28" s="26" t="str">
        <x:v>待标注</x:v>
      </x:c>
    </x:row>
    <x:row r="29" ht="76" customHeight="1">
      <x:c r="A29" s="26" t="n">
        <x:v>24</x:v>
      </x:c>
      <x:c r="B29" s="26" t="n">
        <x:v>25</x:v>
      </x:c>
      <x:c r="C29" s="26" t="n">
        <x:v>1</x:v>
      </x:c>
      <x:c r="D29" s="26" t="str">
        <x:v>IMG_20260917_153544.jpg</x:v>
      </x:c>
      <x:c r="E29" s="26" t="str">
        <x:v>西湖文化广场地下入口处</x:v>
      </x:c>
      <x:c r="F29" s="26" t="str">
        <x:v>西湖文化广场地下入口处</x:v>
      </x:c>
      <x:c r="G29" s="26" t="str">
        <x:v>2</x:v>
      </x:c>
      <x:c r="H29" s="26" t="n">
        <x:v>2</x:v>
      </x:c>
      <x:c r="I29" s="26" t="str">
        <x:v>正式候选</x:v>
      </x:c>
      <x:c r="J29" s="26" t="str">
        <x:v>P15</x:v>
      </x:c>
      <x:c r="K29" s="26" t="str">
        <x:v>R5C3</x:v>
      </x:c>
      <x:c r="L29" s="26" t="str">
        <x:v>扭转金属标志柱、地下入口曲线顶棚与周边树木</x:v>
      </x:c>
      <x:c r="M29" s="26" t="str">
        <x:v>扭转立柱、入口顶棚、两者相邻关系</x:v>
      </x:c>
      <x:c r="N29" s="26" t="str">
        <x:v>固定标志突出，可以用组合定位地下入口。</x:v>
      </x:c>
      <x:c r="O29" s="26" t="str">
        <x:v>保留柱和顶棚，不仅截取柱上文字。</x:v>
      </x:c>
      <x:c r="P29" s="26" t="str">
        <x:v>与#14是否同一入口、但不同站位。</x:v>
      </x:c>
      <x:c r="Q29" s="26" t="str">
        <x:v>待标注</x:v>
      </x:c>
    </x:row>
    <x:row r="30" ht="76" customHeight="1">
      <x:c r="A30" s="26" t="n">
        <x:v>25</x:v>
      </x:c>
      <x:c r="B30" s="26" t="n">
        <x:v>26</x:v>
      </x:c>
      <x:c r="C30" s="26" t="n">
        <x:v>1</x:v>
      </x:c>
      <x:c r="D30" s="26" t="str">
        <x:v>IMG_20260917_153707.jpg</x:v>
      </x:c>
      <x:c r="E30" s="26" t="str">
        <x:v>西湖文化广场西侧装饰物</x:v>
      </x:c>
      <x:c r="F30" s="26" t="str">
        <x:v>西湖文化广场西侧装饰物</x:v>
      </x:c>
      <x:c r="G30" s="26" t="str">
        <x:v>3</x:v>
      </x:c>
      <x:c r="H30" s="26" t="n">
        <x:v>3</x:v>
      </x:c>
      <x:c r="I30" s="26" t="str">
        <x:v>备用</x:v>
      </x:c>
      <x:c r="J30" s="26" t="str"/>
      <x:c r="K30" s="26" t="str"/>
      <x:c r="L30" s="26" t="str">
        <x:v>草地上桂花季主题拍照框与黄色卡通形象</x:v>
      </x:c>
      <x:c r="M30" s="26" t="str">
        <x:v>拍照框、草地背景和固定树木</x:v>
      </x:c>
      <x:c r="N30" s="26" t="str">
        <x:v>主体是季节活动物料，照片拍摄后可能撤走。</x:v>
      </x:c>
      <x:c r="O30" s="26" t="str">
        <x:v>作为备用，不通过抠背景生成新场景；撤走时不能发题。</x:v>
      </x:c>
      <x:c r="P30" s="26" t="str">
        <x:v>活动框是否仍在原处。</x:v>
      </x:c>
      <x:c r="Q30" s="26" t="str">
        <x:v>待标注</x:v>
      </x:c>
    </x:row>
    <x:row r="31" ht="76" customHeight="1">
      <x:c r="A31" s="26" t="n">
        <x:v>26</x:v>
      </x:c>
      <x:c r="B31" s="26" t="n">
        <x:v>27</x:v>
      </x:c>
      <x:c r="C31" s="26" t="n">
        <x:v>2</x:v>
      </x:c>
      <x:c r="D31" s="26" t="str">
        <x:v>345A993339672F365B4157DA4AA9F81D.jpg</x:v>
      </x:c>
      <x:c r="E31" s="26" t="str">
        <x:v>浙江展览馆南广场</x:v>
      </x:c>
      <x:c r="F31" s="26" t="str">
        <x:v>电信大楼</x:v>
      </x:c>
      <x:c r="G31" s="26" t="str">
        <x:v>2</x:v>
      </x:c>
      <x:c r="H31" s="26" t="n">
        <x:v>1</x:v>
      </x:c>
      <x:c r="I31" s="26" t="str">
        <x:v>正式候选</x:v>
      </x:c>
      <x:c r="J31" s="26" t="str">
        <x:v>P04</x:v>
      </x:c>
      <x:c r="K31" s="26" t="str">
        <x:v>R2C1</x:v>
      </x:c>
      <x:c r="L31" s="26" t="str">
        <x:v>树木后方中国电信数字生活体验中心大楼</x:v>
      </x:c>
      <x:c r="M31" s="26" t="str">
        <x:v>电信文字、楼体轮廓、前景广场</x:v>
      </x:c>
      <x:c r="N31" s="26" t="str">
        <x:v>招牌清晰；建议易级，但匹配的是拍摄点的视野，不是进电信营业厅。</x:v>
      </x:c>
      <x:c r="O31" s="26" t="str">
        <x:v>保留文字和树木遮挡关系，后台写明浙江展览馆南广场站位。</x:v>
      </x:c>
      <x:c r="P31" s="26" t="str">
        <x:v>确认可复刻视野，避免误引导到被摄楼门口。</x:v>
      </x:c>
      <x:c r="Q31" s="26" t="str">
        <x:v>待标注</x:v>
      </x:c>
    </x:row>
    <x:row r="32" ht="76" customHeight="1">
      <x:c r="A32" s="26" t="n">
        <x:v>27</x:v>
      </x:c>
      <x:c r="B32" s="26" t="n">
        <x:v>28</x:v>
      </x:c>
      <x:c r="C32" s="26" t="n">
        <x:v>2</x:v>
      </x:c>
      <x:c r="D32" s="26" t="str">
        <x:v>52EF8BB3D7FC0EB5A017C9CEF87A06E1.jpg</x:v>
      </x:c>
      <x:c r="E32" s="26" t="str">
        <x:v>杭州大厦中央商城B1中庭</x:v>
      </x:c>
      <x:c r="F32" s="26" t="str">
        <x:v>杭州大厦中央商城B1楼中庭</x:v>
      </x:c>
      <x:c r="G32" s="26" t="str">
        <x:v>3</x:v>
      </x:c>
      <x:c r="H32" s="26" t="n">
        <x:v>3</x:v>
      </x:c>
      <x:c r="I32" s="26" t="str">
        <x:v>正式候选</x:v>
      </x:c>
      <x:c r="J32" s="26" t="str">
        <x:v>P17</x:v>
      </x:c>
      <x:c r="K32" s="26" t="str">
        <x:v>R2C2</x:v>
      </x:c>
      <x:c r="L32" s="26" t="str">
        <x:v>杭州大厦B1中庭悬挂镜面球和发光球，下方通往下一层</x:v>
      </x:c>
      <x:c r="M32" s="26" t="str">
        <x:v>两球、玻璃栏杆、中庭上下层关系</x:v>
      </x:c>
      <x:c r="N32" s="26" t="str">
        <x:v>装饰独特但藏在地下中庭，灯球画面可能变化。</x:v>
      </x:c>
      <x:c r="O32" s="26" t="str">
        <x:v>保留两球的体积与栏杆位置，不要求发光球显示同一图案。</x:v>
      </x:c>
      <x:c r="P32" s="26" t="str">
        <x:v>悬挂装饰是否仍在。</x:v>
      </x:c>
      <x:c r="Q32" s="26" t="str">
        <x:v>待标注</x:v>
      </x:c>
    </x:row>
    <x:row r="33" ht="76" customHeight="1">
      <x:c r="A33" s="26" t="n">
        <x:v>28</x:v>
      </x:c>
      <x:c r="B33" s="26" t="n">
        <x:v>29</x:v>
      </x:c>
      <x:c r="C33" s="26" t="n">
        <x:v>2</x:v>
      </x:c>
      <x:c r="D33" s="26" t="str">
        <x:v>IMG_20260917_154955.jpg</x:v>
      </x:c>
      <x:c r="E33" s="26" t="str">
        <x:v>浙江展览馆</x:v>
      </x:c>
      <x:c r="F33" s="26" t="str">
        <x:v>浙江展览馆</x:v>
      </x:c>
      <x:c r="G33" s="26" t="str">
        <x:v>2</x:v>
      </x:c>
      <x:c r="H33" s="26" t="n">
        <x:v>1</x:v>
      </x:c>
      <x:c r="I33" s="26" t="str">
        <x:v>正式候选</x:v>
      </x:c>
      <x:c r="J33" s="26" t="str">
        <x:v>P01</x:v>
      </x:c>
      <x:c r="K33" s="26" t="str">
        <x:v>R2C5</x:v>
      </x:c>
      <x:c r="L33" s="26" t="str">
        <x:v>浙江展览馆正立面、中央旗杆和广场</x:v>
      </x:c>
      <x:c r="M33" s="26" t="str">
        <x:v>展览馆文字、对称立面、中央旗杆</x:v>
      </x:c>
      <x:c r="N33" s="26" t="str">
        <x:v>大型完整建筑且馆名可读，视觉定位比原中级更直白。</x:v>
      </x:c>
      <x:c r="O33" s="26" t="str">
        <x:v>保留完整建筑，不必遮馆名增加难度。</x:v>
      </x:c>
      <x:c r="P33" s="26" t="str">
        <x:v>广场站位；可作为区域2开场候选，但本方案未擅自改用途。</x:v>
      </x:c>
      <x:c r="Q33" s="26" t="str">
        <x:v>待标注</x:v>
      </x:c>
    </x:row>
    <x:row r="34" ht="76" customHeight="1">
      <x:c r="A34" s="26" t="n">
        <x:v>29</x:v>
      </x:c>
      <x:c r="B34" s="26" t="n">
        <x:v>30</x:v>
      </x:c>
      <x:c r="C34" s="26" t="n">
        <x:v>2</x:v>
      </x:c>
      <x:c r="D34" s="26" t="str">
        <x:v>IMG_20260917_155406.jpg</x:v>
      </x:c>
      <x:c r="E34" s="26" t="str">
        <x:v>杭州大厦中央商城B2zpark二次元广场入口</x:v>
      </x:c>
      <x:c r="F34" s="26" t="str">
        <x:v>杭州大厦中央商城B2zpark二次元广场</x:v>
      </x:c>
      <x:c r="G34" s="26" t="str">
        <x:v>2</x:v>
      </x:c>
      <x:c r="H34" s="26" t="n">
        <x:v>2</x:v>
      </x:c>
      <x:c r="I34" s="26" t="str">
        <x:v>正式候选</x:v>
      </x:c>
      <x:c r="J34" s="26" t="str">
        <x:v>P11</x:v>
      </x:c>
      <x:c r="K34" s="26" t="str">
        <x:v>R1C5</x:v>
      </x:c>
      <x:c r="L34" s="26" t="str">
        <x:v>ZPARK霓虹门头、入口玻璃及左右箭头</x:v>
      </x:c>
      <x:c r="M34" s="26" t="str">
        <x:v>ZPARK字样、左右箭头、入口结构</x:v>
      </x:c>
      <x:c r="N34" s="26" t="str">
        <x:v>可以识别目标，但需要到杭州大厦B2对应入口。</x:v>
      </x:c>
      <x:c r="O34" s="26" t="str">
        <x:v>保留门框、霓虹箭头和名称。</x:v>
      </x:c>
      <x:c r="P34" s="26" t="str">
        <x:v>公共入口范围。</x:v>
      </x:c>
      <x:c r="Q34" s="26" t="str">
        <x:v>待标注</x:v>
      </x:c>
    </x:row>
    <x:row r="35" ht="76" customHeight="1">
      <x:c r="A35" s="26" t="n">
        <x:v>30</x:v>
      </x:c>
      <x:c r="B35" s="26" t="n">
        <x:v>31</x:v>
      </x:c>
      <x:c r="C35" s="26" t="n">
        <x:v>2</x:v>
      </x:c>
      <x:c r="D35" s="26" t="str">
        <x:v>IMG_20260917_155633.jpg</x:v>
      </x:c>
      <x:c r="E35" s="26" t="str">
        <x:v>杭州大厦中央商城B2zpark展览区入口</x:v>
      </x:c>
      <x:c r="F35" s="26" t="str">
        <x:v>杭州大厦中央商城B2zpark展览区入口</x:v>
      </x:c>
      <x:c r="G35" s="26" t="str">
        <x:v>3</x:v>
      </x:c>
      <x:c r="H35" s="26" t="n">
        <x:v>3</x:v>
      </x:c>
      <x:c r="I35" s="26" t="str">
        <x:v>正式候选</x:v>
      </x:c>
      <x:c r="J35" s="26" t="str">
        <x:v>P16</x:v>
      </x:c>
      <x:c r="K35" s="26" t="str">
        <x:v>R3C4</x:v>
      </x:c>
      <x:c r="L35" s="26" t="str">
        <x:v>ZPARK展览区黑白涂鸦、灰色门和木地板</x:v>
      </x:c>
      <x:c r="M35" s="26" t="str">
        <x:v>三面涂鸦、灰门、地面及拐角</x:v>
      </x:c>
      <x:c r="N35" s="26" t="str">
        <x:v>同品牌有多处入口，必须找到展览区内部具体转角。</x:v>
      </x:c>
      <x:c r="O35" s="26" t="str">
        <x:v>保留整段涂鸦和灰门，不只截ZPARK名字。</x:v>
      </x:c>
      <x:c r="P35" s="26" t="str">
        <x:v>展览区是否开放。</x:v>
      </x:c>
      <x:c r="Q35" s="26" t="str">
        <x:v>待标注</x:v>
      </x:c>
    </x:row>
    <x:row r="36" ht="76" customHeight="1">
      <x:c r="A36" s="26" t="n">
        <x:v>31</x:v>
      </x:c>
      <x:c r="B36" s="26" t="n">
        <x:v>32</x:v>
      </x:c>
      <x:c r="C36" s="26" t="n">
        <x:v>2</x:v>
      </x:c>
      <x:c r="D36" s="26" t="str">
        <x:v>IMG_20260917_155945.jpg</x:v>
      </x:c>
      <x:c r="E36" s="26" t="str">
        <x:v>杭州大厦中央商城B2POKECOLOR内部</x:v>
      </x:c>
      <x:c r="F36" s="26" t="str">
        <x:v>POKECOLOR（武林广场店）</x:v>
      </x:c>
      <x:c r="G36" s="26" t="str">
        <x:v>3</x:v>
      </x:c>
      <x:c r="H36" s="26" t="n">
        <x:v>2</x:v>
      </x:c>
      <x:c r="I36" s="26" t="str">
        <x:v>正式候选</x:v>
      </x:c>
      <x:c r="J36" s="26" t="str">
        <x:v>P15</x:v>
      </x:c>
      <x:c r="K36" s="26" t="str">
        <x:v>R5C3</x:v>
      </x:c>
      <x:c r="L36" s="26" t="str">
        <x:v>POKECOLOR石墙文字及下方卡片展示柜</x:v>
      </x:c>
      <x:c r="M36" s="26" t="str">
        <x:v>POKECOLOR店名、长段字排、卡片柜</x:v>
      </x:c>
      <x:c r="N36" s="26" t="str">
        <x:v>店名提供明确线索，仍需到B2店内；建议中级而非隐藏无品牌的难题。</x:v>
      </x:c>
      <x:c r="O36" s="26" t="str">
        <x:v>保留店名与柜台，保证能从公开顾客区域完成。</x:v>
      </x:c>
      <x:c r="P36" s="26" t="str">
        <x:v>营业与拍摄范围；内部如不便拍摄需改备用。</x:v>
      </x:c>
      <x:c r="Q36" s="26" t="str">
        <x:v>待标注</x:v>
      </x:c>
    </x:row>
    <x:row r="37" ht="76" customHeight="1">
      <x:c r="A37" s="26" t="n">
        <x:v>32</x:v>
      </x:c>
      <x:c r="B37" s="26" t="n">
        <x:v>33</x:v>
      </x:c>
      <x:c r="C37" s="26" t="n">
        <x:v>2</x:v>
      </x:c>
      <x:c r="D37" s="26" t="str">
        <x:v>IMG_20260917_160147.jpg</x:v>
      </x:c>
      <x:c r="E37" s="26" t="str">
        <x:v>杭州大厦中央商城B2 711</x:v>
      </x:c>
      <x:c r="F37" s="26" t="str">
        <x:v>杭州大厦中央商城B2 711</x:v>
      </x:c>
      <x:c r="G37" s="26" t="str">
        <x:v>1</x:v>
      </x:c>
      <x:c r="H37" s="26" t="n">
        <x:v>1</x:v>
      </x:c>
      <x:c r="I37" s="26" t="str">
        <x:v>正式候选</x:v>
      </x:c>
      <x:c r="J37" s="26" t="str">
        <x:v>P02</x:v>
      </x:c>
      <x:c r="K37" s="26" t="str">
        <x:v>R1C2</x:v>
      </x:c>
      <x:c r="L37" s="26" t="str">
        <x:v>7-Eleven彩色横条、玻璃门和店旁标识</x:v>
      </x:c>
      <x:c r="M37" s="26" t="str">
        <x:v>三色门楣、7-Eleven、相邻立面</x:v>
      </x:c>
      <x:c r="N37" s="26" t="str">
        <x:v>品牌直接可见；具体分店由当前区域范围限定。</x:v>
      </x:c>
      <x:c r="O37" s="26" t="str">
        <x:v>完整门面保留，不能只给通用7标。</x:v>
      </x:c>
      <x:c r="P37" s="26" t="str">
        <x:v>B2入口。</x:v>
      </x:c>
      <x:c r="Q37" s="26" t="str">
        <x:v>待标注</x:v>
      </x:c>
    </x:row>
    <x:row r="38" ht="76" customHeight="1">
      <x:c r="A38" s="26" t="n">
        <x:v>33</x:v>
      </x:c>
      <x:c r="B38" s="26" t="n">
        <x:v>34</x:v>
      </x:c>
      <x:c r="C38" s="26" t="n">
        <x:v>2</x:v>
      </x:c>
      <x:c r="D38" s="26" t="str">
        <x:v>IMG_20260917_160446.jpg</x:v>
      </x:c>
      <x:c r="E38" s="26" t="str">
        <x:v>杭州大厦中央商城B2会面处</x:v>
      </x:c>
      <x:c r="F38" s="26" t="str">
        <x:v>杭州大厦中央商城B2会面处</x:v>
      </x:c>
      <x:c r="G38" s="26" t="str">
        <x:v>3</x:v>
      </x:c>
      <x:c r="H38" s="26" t="n">
        <x:v>3</x:v>
      </x:c>
      <x:c r="I38" s="26" t="str">
        <x:v>备用</x:v>
      </x:c>
      <x:c r="J38" s="26" t="str"/>
      <x:c r="K38" s="26" t="str"/>
      <x:c r="L38" s="26" t="str">
        <x:v>红色圆形凸面镜，反射出人、木地面和多家店铺</x:v>
      </x:c>
      <x:c r="M38" s="26" t="str">
        <x:v>红色支架、反射店铺与地面关系</x:v>
      </x:c>
      <x:c r="N38" s="26" t="str">
        <x:v>关键背景依赖镜中反射角度，人物占据中央，稳定性不佳。</x:v>
      </x:c>
      <x:c r="O38" s="26" t="str">
        <x:v>作为备用；若启用应补拍不含人物且保留反射固定门面的镜面。</x:v>
      </x:c>
      <x:c r="P38" s="26" t="str">
        <x:v>标注会面处过于宽泛，需要具体固定参照物。</x:v>
      </x:c>
      <x:c r="Q38" s="26" t="str">
        <x:v>待标注</x:v>
      </x:c>
    </x:row>
    <x:row r="39" ht="76" customHeight="1">
      <x:c r="A39" s="26" t="n">
        <x:v>34</x:v>
      </x:c>
      <x:c r="B39" s="26" t="n">
        <x:v>35</x:v>
      </x:c>
      <x:c r="C39" s="26" t="n">
        <x:v>2</x:v>
      </x:c>
      <x:c r="D39" s="26" t="str">
        <x:v>IMG_20260917_160727.jpg</x:v>
      </x:c>
      <x:c r="E39" s="26" t="str">
        <x:v>杭州大厦中央商城B1 FILLMED</x:v>
      </x:c>
      <x:c r="F39" s="26" t="str">
        <x:v>FILLMED美学空间</x:v>
      </x:c>
      <x:c r="G39" s="26" t="str">
        <x:v>2</x:v>
      </x:c>
      <x:c r="H39" s="26" t="n">
        <x:v>2</x:v>
      </x:c>
      <x:c r="I39" s="26" t="str">
        <x:v>正式候选</x:v>
      </x:c>
      <x:c r="J39" s="26" t="str">
        <x:v>P13</x:v>
      </x:c>
      <x:c r="K39" s="26" t="str">
        <x:v>R3C1</x:v>
      </x:c>
      <x:c r="L39" s="26" t="str">
        <x:v>FILLMED灯箱文字，灰色平整墙面</x:v>
      </x:c>
      <x:c r="M39" s="26" t="str">
        <x:v>完整FILLMED文字与字体布局</x:v>
      </x:c>
      <x:c r="N39" s="26" t="str">
        <x:v>品牌可读，但画面极紧、没有通道，找店后的同墙定位仍有难度。</x:v>
      </x:c>
      <x:c r="O39" s="26" t="str">
        <x:v>保持文字可读；如担心同品牌门店歧义，提供B1范围提示。</x:v>
      </x:c>
      <x:c r="P39" s="26" t="str">
        <x:v>墙面位置及FILLMED门店是否仍营业。</x:v>
      </x:c>
      <x:c r="Q39" s="26" t="str">
        <x:v>待标注</x:v>
      </x:c>
    </x:row>
    <x:row r="40" ht="76" customHeight="1">
      <x:c r="A40" s="26" t="n">
        <x:v>35</x:v>
      </x:c>
      <x:c r="B40" s="26" t="n">
        <x:v>36</x:v>
      </x:c>
      <x:c r="C40" s="26" t="n">
        <x:v>2</x:v>
      </x:c>
      <x:c r="D40" s="26" t="str">
        <x:v>IMG_20260917_160959.jpg</x:v>
      </x:c>
      <x:c r="E40" s="26" t="str">
        <x:v>杭州大厦中央商城B1栏杆边</x:v>
      </x:c>
      <x:c r="F40" s="26" t="str">
        <x:v>杭州大厦中央商城B2篮球场</x:v>
      </x:c>
      <x:c r="G40" s="26" t="str">
        <x:v>3</x:v>
      </x:c>
      <x:c r="H40" s="26" t="n">
        <x:v>3</x:v>
      </x:c>
      <x:c r="I40" s="26" t="str">
        <x:v>正式候选</x:v>
      </x:c>
      <x:c r="J40" s="26" t="str">
        <x:v>P18</x:v>
      </x:c>
      <x:c r="K40" s="26" t="str">
        <x:v>R4C1</x:v>
      </x:c>
      <x:c r="L40" s="26" t="str">
        <x:v>从B1栏杆俯拍B2黑橙相间篮球场，上有蓝色横梁</x:v>
      </x:c>
      <x:c r="M40" s="26" t="str">
        <x:v>黑橙场地、蓝横梁、俯拍方向</x:v>
      </x:c>
      <x:c r="N40" s="26" t="str">
        <x:v>球场易识别，但复刻需要找到上一层的同一栏杆。</x:v>
      </x:c>
      <x:c r="O40" s="26" t="str">
        <x:v>保留蓝横梁及上层边缘，不能只给球场中央。</x:v>
      </x:c>
      <x:c r="P40" s="26" t="str">
        <x:v>拍摄点B1与被摄物B2须分字段，审核不能误要求到球场地面。</x:v>
      </x:c>
      <x:c r="Q40" s="26" t="str">
        <x:v>待标注</x:v>
      </x:c>
    </x:row>
    <x:row r="41" ht="76" customHeight="1">
      <x:c r="A41" s="26" t="n">
        <x:v>36</x:v>
      </x:c>
      <x:c r="B41" s="26" t="n">
        <x:v>37</x:v>
      </x:c>
      <x:c r="C41" s="26" t="n">
        <x:v>2</x:v>
      </x:c>
      <x:c r="D41" s="26" t="str">
        <x:v>IMG_20260917_162028.jpg</x:v>
      </x:c>
      <x:c r="E41" s="26" t="str">
        <x:v>国大城市广场一楼跑男专卖店</x:v>
      </x:c>
      <x:c r="F41" s="26" t="str">
        <x:v>国大城市广场一楼跑男专卖店</x:v>
      </x:c>
      <x:c r="G41" s="26" t="str">
        <x:v>2</x:v>
      </x:c>
      <x:c r="H41" s="26" t="n">
        <x:v>2</x:v>
      </x:c>
      <x:c r="I41" s="26" t="str">
        <x:v>正式候选</x:v>
      </x:c>
      <x:c r="J41" s="26" t="str">
        <x:v>P12</x:v>
      </x:c>
      <x:c r="K41" s="26" t="str">
        <x:v>R2C4</x:v>
      </x:c>
      <x:c r="L41" s="26" t="str">
        <x:v>巨大黄色R悬挂标志和下方跑男周边店</x:v>
      </x:c>
      <x:c r="M41" s="26" t="str">
        <x:v>黄色R、黄色黑色主题门面</x:v>
      </x:c>
      <x:c r="N41" s="26" t="str">
        <x:v>大R独特，但需进入国大一楼识别门店。</x:v>
      </x:c>
      <x:c r="O41" s="26" t="str">
        <x:v>保留R与下方店面，不只留下单字母。</x:v>
      </x:c>
      <x:c r="P41" s="26" t="str">
        <x:v>悬挂物是否变化。</x:v>
      </x:c>
      <x:c r="Q41" s="26" t="str">
        <x:v>待标注</x:v>
      </x:c>
    </x:row>
    <x:row r="42" ht="76" customHeight="1">
      <x:c r="A42" s="26" t="n">
        <x:v>37</x:v>
      </x:c>
      <x:c r="B42" s="26" t="n">
        <x:v>38</x:v>
      </x:c>
      <x:c r="C42" s="26" t="n">
        <x:v>2</x:v>
      </x:c>
      <x:c r="D42" s="26" t="str">
        <x:v>IMG_20260917_162312.jpg</x:v>
      </x:c>
      <x:c r="E42" s="26" t="str">
        <x:v>国大城市广场B1名创优品内部</x:v>
      </x:c>
      <x:c r="F42" s="26" t="str">
        <x:v>国大城市广场B1名创优品内部</x:v>
      </x:c>
      <x:c r="G42" s="26" t="str">
        <x:v>2</x:v>
      </x:c>
      <x:c r="H42" s="26" t="n">
        <x:v>2</x:v>
      </x:c>
      <x:c r="I42" s="26" t="str">
        <x:v>正式候选</x:v>
      </x:c>
      <x:c r="J42" s="26" t="str">
        <x:v>P14</x:v>
      </x:c>
      <x:c r="K42" s="26" t="str">
        <x:v>R3C2</x:v>
      </x:c>
      <x:c r="L42" s="26" t="str">
        <x:v>名创优品草莓熊立牌，后方粉色摊位与货架</x:v>
      </x:c>
      <x:c r="M42" s="26" t="str">
        <x:v>草莓熊、粉色摊位、MINISO附近标识</x:v>
      </x:c>
      <x:c r="N42" s="26" t="str">
        <x:v>角色容易辨认，但限定陈列会移动。</x:v>
      </x:c>
      <x:c r="O42" s="26" t="str">
        <x:v>保留门店背景；允许人物和散货不同。</x:v>
      </x:c>
      <x:c r="P42" s="26" t="str">
        <x:v>草莓熊展示是否保留。</x:v>
      </x:c>
      <x:c r="Q42" s="26" t="str">
        <x:v>待标注</x:v>
      </x:c>
    </x:row>
    <x:row r="43" ht="76" customHeight="1">
      <x:c r="A43" s="26" t="n">
        <x:v>38</x:v>
      </x:c>
      <x:c r="B43" s="26" t="n">
        <x:v>39</x:v>
      </x:c>
      <x:c r="C43" s="26" t="n">
        <x:v>2</x:v>
      </x:c>
      <x:c r="D43" s="26" t="str">
        <x:v>IMG_20260917_162506.jpg</x:v>
      </x:c>
      <x:c r="E43" s="26" t="str">
        <x:v>国大城市广场B2中庭</x:v>
      </x:c>
      <x:c r="F43" s="26" t="str">
        <x:v>国大城市广场B2中庭</x:v>
      </x:c>
      <x:c r="G43" s="26" t="str">
        <x:v>3</x:v>
      </x:c>
      <x:c r="H43" s="26" t="n">
        <x:v>3</x:v>
      </x:c>
      <x:c r="I43" s="26" t="str">
        <x:v>正式候选</x:v>
      </x:c>
      <x:c r="J43" s="26" t="str">
        <x:v>P19</x:v>
      </x:c>
      <x:c r="K43" s="26" t="str">
        <x:v>R1C3</x:v>
      </x:c>
      <x:c r="L43" s="26" t="str">
        <x:v>仰拍黑色镜面中庭与密集吊灯，多层反射</x:v>
      </x:c>
      <x:c r="M43" s="26" t="str">
        <x:v>中庭框架、镜面层叠、吊灯整体排列</x:v>
      </x:c>
      <x:c r="N43" s="26" t="str">
        <x:v>无店名，需要辨认地下中庭并找到仰拍点。</x:v>
      </x:c>
      <x:c r="O43" s="26" t="str">
        <x:v>保留中庭矩形框架，不只给星点灯光。</x:v>
      </x:c>
      <x:c r="P43" s="26" t="str">
        <x:v>B2仰拍站位和吊灯是否保留。</x:v>
      </x:c>
      <x:c r="Q43" s="26" t="str">
        <x:v>待标注</x:v>
      </x:c>
    </x:row>
    <x:row r="44" ht="76" customHeight="1">
      <x:c r="A44" s="26" t="n">
        <x:v>39</x:v>
      </x:c>
      <x:c r="B44" s="26" t="n">
        <x:v>40</x:v>
      </x:c>
      <x:c r="C44" s="26" t="n">
        <x:v>2</x:v>
      </x:c>
      <x:c r="D44" s="26" t="str">
        <x:v>IMG_20260917_162622.jpg</x:v>
      </x:c>
      <x:c r="E44" s="26" t="str">
        <x:v>国大城市广场B2 12号电梯</x:v>
      </x:c>
      <x:c r="F44" s="26" t="str">
        <x:v>国大城市广场B2 12号电梯</x:v>
      </x:c>
      <x:c r="G44" s="26" t="str">
        <x:v>1</x:v>
      </x:c>
      <x:c r="H44" s="26" t="n">
        <x:v>1</x:v>
      </x:c>
      <x:c r="I44" s="26" t="str">
        <x:v>正式候选</x:v>
      </x:c>
      <x:c r="J44" s="26" t="str">
        <x:v>P03</x:v>
      </x:c>
      <x:c r="K44" s="26" t="str">
        <x:v>R5C2</x:v>
      </x:c>
      <x:c r="L44" s="26" t="str">
        <x:v>木饰面电梯门，上方明确B2与12号电梯标识</x:v>
      </x:c>
      <x:c r="M44" s="26" t="str">
        <x:v>B2、12号电梯、木饰面与门框</x:v>
      </x:c>
      <x:c r="N44" s="26" t="str">
        <x:v>楼层和电梯号完整，位置线索直接。</x:v>
      </x:c>
      <x:c r="O44" s="26" t="str">
        <x:v>标识不能打码，保留门框。</x:v>
      </x:c>
      <x:c r="P44" s="26" t="str">
        <x:v>12号电梯标牌是否准确。</x:v>
      </x:c>
      <x:c r="Q44" s="26" t="str">
        <x:v>待标注</x:v>
      </x:c>
    </x:row>
    <x:row r="45" ht="76" customHeight="1">
      <x:c r="A45" s="26" t="n">
        <x:v>40</x:v>
      </x:c>
      <x:c r="B45" s="26" t="n">
        <x:v>41</x:v>
      </x:c>
      <x:c r="C45" s="26" t="n">
        <x:v>2</x:v>
      </x:c>
      <x:c r="D45" s="26" t="str">
        <x:v>IMG_20260917_162832.jpg</x:v>
      </x:c>
      <x:c r="E45" s="26" t="str">
        <x:v>国大城市广场B1源式木语</x:v>
      </x:c>
      <x:c r="F45" s="26" t="str">
        <x:v>国大城市广场B1源式木语</x:v>
      </x:c>
      <x:c r="G45" s="26" t="str">
        <x:v>1</x:v>
      </x:c>
      <x:c r="H45" s="26" t="n">
        <x:v>1</x:v>
      </x:c>
      <x:c r="I45" s="26" t="str">
        <x:v>正式候选</x:v>
      </x:c>
      <x:c r="J45" s="26" t="str">
        <x:v>P06</x:v>
      </x:c>
      <x:c r="K45" s="26" t="str">
        <x:v>R4C3</x:v>
      </x:c>
      <x:c r="L45" s="26" t="str">
        <x:v>源氏木语完整家具店招、沙发与转角</x:v>
      </x:c>
      <x:c r="M45" s="26" t="str">
        <x:v>店招和转角、沙发展示范围</x:v>
      </x:c>
      <x:c r="N45" s="26" t="str">
        <x:v>品牌门面明确；不把可换家具作为唯一依据。</x:v>
      </x:c>
      <x:c r="O45" s="26" t="str">
        <x:v>保留店招和门面边界，家具摆放无需完全一致。</x:v>
      </x:c>
      <x:c r="P45" s="26" t="str">
        <x:v>原表写源式木语，照片实为源氏木语；保留原标注并记录更正建议。</x:v>
      </x:c>
      <x:c r="Q45" s="26" t="str">
        <x:v>待标注</x:v>
      </x:c>
    </x:row>
    <x:row r="46" ht="76" customHeight="1">
      <x:c r="A46" s="26" t="n">
        <x:v>41</x:v>
      </x:c>
      <x:c r="B46" s="26" t="n">
        <x:v>42</x:v>
      </x:c>
      <x:c r="C46" s="26" t="n">
        <x:v>2</x:v>
      </x:c>
      <x:c r="D46" s="26" t="str">
        <x:v>IMG_20260917_163042.jpg</x:v>
      </x:c>
      <x:c r="E46" s="26" t="str">
        <x:v>国大城市广场一楼雕塑</x:v>
      </x:c>
      <x:c r="F46" s="26" t="str">
        <x:v>国大城市广场一楼雕塑</x:v>
      </x:c>
      <x:c r="G46" s="26" t="str">
        <x:v>2</x:v>
      </x:c>
      <x:c r="H46" s="26" t="n">
        <x:v>2</x:v>
      </x:c>
      <x:c r="I46" s="26" t="str">
        <x:v>正式候选</x:v>
      </x:c>
      <x:c r="J46" s="26" t="str">
        <x:v>P09</x:v>
      </x:c>
      <x:c r="K46" s="26" t="str">
        <x:v>R5C5</x:v>
      </x:c>
      <x:c r="L46" s="26" t="str">
        <x:v>国大一楼红色镂空雕塑，前面棕色卡通形象</x:v>
      </x:c>
      <x:c r="M46" s="26" t="str">
        <x:v>红色镂空主体、所在中庭与附近栏杆</x:v>
      </x:c>
      <x:c r="N46" s="26" t="str">
        <x:v>主体醒目，但卡通摆件可能变化。</x:v>
      </x:c>
      <x:c r="O46" s="26" t="str">
        <x:v>用红色主雕塑作为审核锚点，前方卡通形象不必一致。</x:v>
      </x:c>
      <x:c r="P46" s="26" t="str">
        <x:v>红色主体是否为固定装置。</x:v>
      </x:c>
      <x:c r="Q46" s="26" t="str">
        <x:v>待标注</x:v>
      </x:c>
    </x:row>
    <x:row r="47" ht="76" customHeight="1">
      <x:c r="A47" s="26" t="n">
        <x:v>42</x:v>
      </x:c>
      <x:c r="B47" s="26" t="n">
        <x:v>43</x:v>
      </x:c>
      <x:c r="C47" s="26" t="n">
        <x:v>2</x:v>
      </x:c>
      <x:c r="D47" s="26" t="str">
        <x:v>IMG_20260917_163342.jpg</x:v>
      </x:c>
      <x:c r="E47" s="26" t="str">
        <x:v>国大城市广场银泰百货中间天桥</x:v>
      </x:c>
      <x:c r="F47" s="26" t="str">
        <x:v>浙江省科协大楼</x:v>
      </x:c>
      <x:c r="G47" s="26" t="str">
        <x:v>2</x:v>
      </x:c>
      <x:c r="H47" s="26" t="n">
        <x:v>2</x:v>
      </x:c>
      <x:c r="I47" s="26" t="str">
        <x:v>正式候选</x:v>
      </x:c>
      <x:c r="J47" s="26" t="str">
        <x:v>P08</x:v>
      </x:c>
      <x:c r="K47" s="26" t="str">
        <x:v>R4C4</x:v>
      </x:c>
      <x:c r="L47" s="26" t="str">
        <x:v>从天桥望向浙江省科协大楼与周边玻璃高楼</x:v>
      </x:c>
      <x:c r="M47" s="26" t="str">
        <x:v>科协大楼文字、旁边双楼、天桥前景</x:v>
      </x:c>
      <x:c r="N47" s="26" t="str">
        <x:v>地点招牌直接，但真正目标是相同观察点，不能导航到科协楼门口。</x:v>
      </x:c>
      <x:c r="O47" s="26" t="str">
        <x:v>保留前景栏杆和楼群组合。</x:v>
      </x:c>
      <x:c r="P47" s="26" t="str">
        <x:v>国大与银泰间天桥站位。</x:v>
      </x:c>
      <x:c r="Q47" s="26" t="str">
        <x:v>待标注</x:v>
      </x:c>
    </x:row>
    <x:row r="48" ht="76" customHeight="1">
      <x:c r="A48" s="26" t="n">
        <x:v>43</x:v>
      </x:c>
      <x:c r="B48" s="26" t="n">
        <x:v>44</x:v>
      </x:c>
      <x:c r="C48" s="26" t="n">
        <x:v>2</x:v>
      </x:c>
      <x:c r="D48" s="26" t="str">
        <x:v>IMG_20260917_163619.jpg</x:v>
      </x:c>
      <x:c r="E48" s="26" t="str">
        <x:v>LACOSTE（武林银泰百货）C馆一楼</x:v>
      </x:c>
      <x:c r="F48" s="26" t="str">
        <x:v>LACOSTE（武林银泰百货店）</x:v>
      </x:c>
      <x:c r="G48" s="26" t="str">
        <x:v>3</x:v>
      </x:c>
      <x:c r="H48" s="26" t="n">
        <x:v>2</x:v>
      </x:c>
      <x:c r="I48" s="26" t="str">
        <x:v>正式候选</x:v>
      </x:c>
      <x:c r="J48" s="26" t="str">
        <x:v>P07</x:v>
      </x:c>
      <x:c r="K48" s="26" t="str">
        <x:v>R5C1</x:v>
      </x:c>
      <x:c r="L48" s="26" t="str">
        <x:v>深绿色墙上的白色鳄鱼霓虹标志，右下红扶手</x:v>
      </x:c>
      <x:c r="M48" s="26" t="str">
        <x:v>鳄鱼轮廓、绿墙、红扶手</x:v>
      </x:c>
      <x:c r="N48" s="26" t="str">
        <x:v>品牌高度可识别，仍需找到C馆一楼特定墙面；建议中级。</x:v>
      </x:c>
      <x:c r="O48" s="26" t="str">
        <x:v>不遮鳄鱼，不只裁logo；保留墙与红扶手。</x:v>
      </x:c>
      <x:c r="P48" s="26" t="str">
        <x:v>墙面外侧是否可达。</x:v>
      </x:c>
      <x:c r="Q48" s="26" t="str">
        <x:v>待标注</x:v>
      </x:c>
    </x:row>
    <x:row r="49" ht="76" customHeight="1">
      <x:c r="A49" s="26" t="n">
        <x:v>44</x:v>
      </x:c>
      <x:c r="B49" s="26" t="n">
        <x:v>45</x:v>
      </x:c>
      <x:c r="C49" s="26" t="n">
        <x:v>2</x:v>
      </x:c>
      <x:c r="D49" s="26" t="str">
        <x:v>IMG_20260917_164105.jpg</x:v>
      </x:c>
      <x:c r="E49" s="26" t="str">
        <x:v>杭州大酒店门口</x:v>
      </x:c>
      <x:c r="F49" s="26" t="str">
        <x:v>杭州大酒店门口</x:v>
      </x:c>
      <x:c r="G49" s="26" t="str">
        <x:v>1</x:v>
      </x:c>
      <x:c r="H49" s="26" t="n">
        <x:v>1</x:v>
      </x:c>
      <x:c r="I49" s="26" t="str">
        <x:v>正式候选</x:v>
      </x:c>
      <x:c r="J49" s="26" t="str">
        <x:v>P05</x:v>
      </x:c>
      <x:c r="K49" s="26" t="str">
        <x:v>R1C4</x:v>
      </x:c>
      <x:c r="L49" s="26" t="str">
        <x:v>杭州大酒店门口高拱与中英文酒店招牌</x:v>
      </x:c>
      <x:c r="M49" s="26" t="str">
        <x:v>酒店名、高拱、立面结构</x:v>
      </x:c>
      <x:c r="N49" s="26" t="str">
        <x:v>大地标、直白名称，适合容易题。</x:v>
      </x:c>
      <x:c r="O49" s="26" t="str">
        <x:v>保留高拱和店名。</x:v>
      </x:c>
      <x:c r="P49" s="26" t="str">
        <x:v>入口外侧站位。</x:v>
      </x:c>
      <x:c r="Q49" s="26" t="str">
        <x:v>待标注</x:v>
      </x:c>
    </x:row>
    <x:row r="50" ht="76" customHeight="1">
      <x:c r="A50" s="26" t="n">
        <x:v>45</x:v>
      </x:c>
      <x:c r="B50" s="26" t="n">
        <x:v>46</x:v>
      </x:c>
      <x:c r="C50" s="26" t="n">
        <x:v>2</x:v>
      </x:c>
      <x:c r="D50" s="26" t="str">
        <x:v>IMG_20260917_164413.jpg</x:v>
      </x:c>
      <x:c r="E50" s="26" t="str">
        <x:v>武林银泰百货B馆C馆中间通道</x:v>
      </x:c>
      <x:c r="F50" s="26" t="str">
        <x:v>武林银泰百货B馆C馆中间通道</x:v>
      </x:c>
      <x:c r="G50" s="26" t="str">
        <x:v>2</x:v>
      </x:c>
      <x:c r="H50" s="26" t="n">
        <x:v>2</x:v>
      </x:c>
      <x:c r="I50" s="26" t="str">
        <x:v>正式候选</x:v>
      </x:c>
      <x:c r="J50" s="26" t="str">
        <x:v>P10</x:v>
      </x:c>
      <x:c r="K50" s="26" t="str">
        <x:v>R4C5</x:v>
      </x:c>
      <x:c r="L50" s="26" t="str">
        <x:v>银泰B/C馆之间高拱通道、顶部交叉网架和道路</x:v>
      </x:c>
      <x:c r="M50" s="26" t="str">
        <x:v>大拱、网架、道路箭头与通道关系</x:v>
      </x:c>
      <x:c r="N50" s="26" t="str">
        <x:v>与#44邻近且有相似拱门，要用网架和通道宽度区分。</x:v>
      </x:c>
      <x:c r="O50" s="26" t="str">
        <x:v>保留交叉网架，不只截拱门；不要求走入机动车道拍照。</x:v>
      </x:c>
      <x:c r="P50" s="26" t="str">
        <x:v>在合法行人位置可复刻的视角。</x:v>
      </x:c>
      <x:c r="Q50" s="26" t="str">
        <x:v>待标注</x:v>
      </x:c>
    </x:row>
    <x:row r="51" ht="76" customHeight="1">
      <x:c r="A51" s="26" t="n">
        <x:v>46</x:v>
      </x:c>
      <x:c r="B51" s="26" t="n">
        <x:v>47</x:v>
      </x:c>
      <x:c r="C51" s="26" t="n">
        <x:v>2</x:v>
      </x:c>
      <x:c r="D51" s="26" t="str">
        <x:v>IMG_20260917_164535.jpg</x:v>
      </x:c>
      <x:c r="E51" s="26" t="str">
        <x:v>武林银泰百货C馆入口处装饰物</x:v>
      </x:c>
      <x:c r="F51" s="26" t="str">
        <x:v>武林银泰百货C馆入口处装饰物</x:v>
      </x:c>
      <x:c r="G51" s="26" t="str">
        <x:v>3</x:v>
      </x:c>
      <x:c r="H51" s="26" t="n">
        <x:v>3</x:v>
      </x:c>
      <x:c r="I51" s="26" t="str">
        <x:v>备用</x:v>
      </x:c>
      <x:c r="J51" s="26" t="str"/>
      <x:c r="K51" s="26" t="str"/>
      <x:c r="L51" s="26" t="str">
        <x:v>SK-II巨大瓶形装置与广告背景</x:v>
      </x:c>
      <x:c r="M51" s="26" t="str">
        <x:v>瓶形装置、背景广告与门外环境</x:v>
      </x:c>
      <x:c r="N51" s="26" t="str">
        <x:v>临时商业陈列，可移走；品牌出现不代表此装置易定位。</x:v>
      </x:c>
      <x:c r="O51" s="26" t="str">
        <x:v>作为备用；若启用须核对实物存在，不能补画已撤陈列。</x:v>
      </x:c>
      <x:c r="P51" s="26" t="str">
        <x:v>C馆入口装置是否保留。</x:v>
      </x:c>
      <x:c r="Q51" s="26" t="str">
        <x:v>待标注</x:v>
      </x:c>
    </x:row>
    <x:row r="52" ht="76" customHeight="1">
      <x:c r="A52" s="26" t="n">
        <x:v>47</x:v>
      </x:c>
      <x:c r="B52" s="26" t="n">
        <x:v>48</x:v>
      </x:c>
      <x:c r="C52" s="26" t="n">
        <x:v>3</x:v>
      </x:c>
      <x:c r="D52" s="26" t="str">
        <x:v>2649BE6D13BAEBB0804409DF79660FE1.jpg</x:v>
      </x:c>
      <x:c r="E52" s="26" t="str">
        <x:v>in77C3区B1层</x:v>
      </x:c>
      <x:c r="F52" s="26" t="str">
        <x:v>星平鸡饭（in77店）</x:v>
      </x:c>
      <x:c r="G52" s="26" t="str">
        <x:v>1</x:v>
      </x:c>
      <x:c r="H52" s="26" t="n">
        <x:v>1</x:v>
      </x:c>
      <x:c r="I52" s="26" t="str">
        <x:v>正式候选</x:v>
      </x:c>
      <x:c r="J52" s="26" t="str">
        <x:v>P01</x:v>
      </x:c>
      <x:c r="K52" s="26" t="str">
        <x:v>R2C5</x:v>
      </x:c>
      <x:c r="L52" s="26" t="str">
        <x:v>星平鸡饭SIMPg大门面，柜台和弧形天花</x:v>
      </x:c>
      <x:c r="M52" s="26" t="str">
        <x:v>店名、柜台、弧形木饰天花</x:v>
      </x:c>
      <x:c r="N52" s="26" t="str">
        <x:v>品牌完整，入口及天花组合可靠。</x:v>
      </x:c>
      <x:c r="O52" s="26" t="str">
        <x:v>保留门面，不把顾客人数作为条件。</x:v>
      </x:c>
      <x:c r="P52" s="26" t="str">
        <x:v>C3 B1分区。</x:v>
      </x:c>
      <x:c r="Q52" s="26" t="str">
        <x:v>待标注</x:v>
      </x:c>
    </x:row>
    <x:row r="53" ht="76" customHeight="1">
      <x:c r="A53" s="26" t="n">
        <x:v>48</x:v>
      </x:c>
      <x:c r="B53" s="26" t="n">
        <x:v>49</x:v>
      </x:c>
      <x:c r="C53" s="26" t="n">
        <x:v>3</x:v>
      </x:c>
      <x:c r="D53" s="26" t="str">
        <x:v>4362A7841EBCA923C29572011D8BA1E8.jpg</x:v>
      </x:c>
      <x:c r="E53" s="26" t="str">
        <x:v>in77 C1区B1层</x:v>
      </x:c>
      <x:c r="F53" s="26" t="str">
        <x:v>朴下隆九（杭州首店）</x:v>
      </x:c>
      <x:c r="G53" s="26" t="str">
        <x:v>1</x:v>
      </x:c>
      <x:c r="H53" s="26" t="n">
        <x:v>1</x:v>
      </x:c>
      <x:c r="I53" s="26" t="str">
        <x:v>正式候选</x:v>
      </x:c>
      <x:c r="J53" s="26" t="str">
        <x:v>P02</x:v>
      </x:c>
      <x:c r="K53" s="26" t="str">
        <x:v>R1C2</x:v>
      </x:c>
      <x:c r="L53" s="26" t="str">
        <x:v>朴下隆九店外木饰面、吊灯、点心立柱</x:v>
      </x:c>
      <x:c r="M53" s="26" t="str">
        <x:v>店名、点心立柱、吊灯与通道</x:v>
      </x:c>
      <x:c r="N53" s="26" t="str">
        <x:v>明确店名并有邻接固定结构。</x:v>
      </x:c>
      <x:c r="O53" s="26" t="str">
        <x:v>保留店名与左侧立柱；人物不计入复刻。</x:v>
      </x:c>
      <x:c r="P53" s="26" t="str">
        <x:v>表中店名与现招牌字形可能有差异，后台以现场门面为准。</x:v>
      </x:c>
      <x:c r="Q53" s="26" t="str">
        <x:v>待标注</x:v>
      </x:c>
    </x:row>
    <x:row r="54" ht="76" customHeight="1">
      <x:c r="A54" s="26" t="n">
        <x:v>49</x:v>
      </x:c>
      <x:c r="B54" s="26" t="n">
        <x:v>50</x:v>
      </x:c>
      <x:c r="C54" s="26" t="n">
        <x:v>3</x:v>
      </x:c>
      <x:c r="D54" s="26" t="str">
        <x:v>918F374D8AAD3A8FD22801C0FFDC84B0.jpg</x:v>
      </x:c>
      <x:c r="E54" s="26" t="str">
        <x:v>in77 C3区B1层</x:v>
      </x:c>
      <x:c r="F54" s="26" t="str">
        <x:v>麒麟大口茶（杭州首店）外侧logo</x:v>
      </x:c>
      <x:c r="G54" s="26" t="str">
        <x:v>1</x:v>
      </x:c>
      <x:c r="H54" s="26" t="n">
        <x:v>2</x:v>
      </x:c>
      <x:c r="I54" s="26" t="str">
        <x:v>正式候选</x:v>
      </x:c>
      <x:c r="J54" s="26" t="str">
        <x:v>P11</x:v>
      </x:c>
      <x:c r="K54" s="26" t="str">
        <x:v>R1C5</x:v>
      </x:c>
      <x:c r="L54" s="26" t="str">
        <x:v>麒麟大口茶黄色灯墙、黑色图腾和两侧竹纹</x:v>
      </x:c>
      <x:c r="M54" s="26" t="str">
        <x:v>黑色图腾全貌、黄色灯墙、竹纹和分格</x:v>
      </x:c>
      <x:c r="N54" s="26" t="str">
        <x:v>原图店名很直白；仅遮品牌文字后，图腾仍足以定位，建议中级。</x:v>
      </x:c>
      <x:c r="O54" s="26" t="str">
        <x:v>只遮图腾下方中文店名与英文名称。完整保留图腾、竹纹、真实墙面；不生成替代花纹。</x:v>
      </x:c>
      <x:c r="P54" s="26" t="str">
        <x:v>品牌文字遮挡版需逐项比对，定位线索不能变形。</x:v>
      </x:c>
      <x:c r="Q54" s="26" t="str">
        <x:v>待标注</x:v>
      </x:c>
    </x:row>
    <x:row r="55" ht="76" customHeight="1">
      <x:c r="A55" s="26" t="n">
        <x:v>50</x:v>
      </x:c>
      <x:c r="B55" s="26" t="n">
        <x:v>51</x:v>
      </x:c>
      <x:c r="C55" s="26" t="n">
        <x:v>3</x:v>
      </x:c>
      <x:c r="D55" s="26" t="str">
        <x:v>95C2D53AC1A597C4A29F5705B7B9C8DB.jpg</x:v>
      </x:c>
      <x:c r="E55" s="26" t="str">
        <x:v>in77 C2区B1层</x:v>
      </x:c>
      <x:c r="F55" s="26" t="str">
        <x:v>Bananain 蕉内（in77店）</x:v>
      </x:c>
      <x:c r="G55" s="26" t="str">
        <x:v>1</x:v>
      </x:c>
      <x:c r="H55" s="26" t="n">
        <x:v>1</x:v>
      </x:c>
      <x:c r="I55" s="26" t="str">
        <x:v>正式候选</x:v>
      </x:c>
      <x:c r="J55" s="26" t="str">
        <x:v>P03</x:v>
      </x:c>
      <x:c r="K55" s="26" t="str">
        <x:v>R5C2</x:v>
      </x:c>
      <x:c r="L55" s="26" t="str">
        <x:v>蕉内中英文招牌、明亮白色衣物店和木纹门头</x:v>
      </x:c>
      <x:c r="M55" s="26" t="str">
        <x:v>蕉内招牌、木纹门头、入口陈列</x:v>
      </x:c>
      <x:c r="N55" s="26" t="str">
        <x:v>店名直接，门面范围充分。</x:v>
      </x:c>
      <x:c r="O55" s="26" t="str">
        <x:v>原样使用，不只给通用商品。</x:v>
      </x:c>
      <x:c r="P55" s="26" t="str">
        <x:v>C2 B1门面。</x:v>
      </x:c>
      <x:c r="Q55" s="26" t="str">
        <x:v>待标注</x:v>
      </x:c>
    </x:row>
    <x:row r="56" ht="76" customHeight="1">
      <x:c r="A56" s="26" t="n">
        <x:v>51</x:v>
      </x:c>
      <x:c r="B56" s="26" t="n">
        <x:v>52</x:v>
      </x:c>
      <x:c r="C56" s="26" t="n">
        <x:v>3</x:v>
      </x:c>
      <x:c r="D56" s="26" t="str">
        <x:v>9EFA0D86CC7B12CDE7D7E63DBEC75593.jpg</x:v>
      </x:c>
      <x:c r="E56" s="26" t="str">
        <x:v>in77 C区到E区通道</x:v>
      </x:c>
      <x:c r="F56" s="26" t="str">
        <x:v>in77 C区到E区通道</x:v>
      </x:c>
      <x:c r="G56" s="26" t="str">
        <x:v>3</x:v>
      </x:c>
      <x:c r="H56" s="26" t="n">
        <x:v>3</x:v>
      </x:c>
      <x:c r="I56" s="26" t="str">
        <x:v>正式候选</x:v>
      </x:c>
      <x:c r="J56" s="26" t="str">
        <x:v>P19</x:v>
      </x:c>
      <x:c r="K56" s="26" t="str">
        <x:v>R1C3</x:v>
      </x:c>
      <x:c r="L56" s="26" t="str">
        <x:v>in77彩色拱环通道、两侧广告屏及反光地面</x:v>
      </x:c>
      <x:c r="M56" s="26" t="str">
        <x:v>连续拱环、天花结构、通道方向</x:v>
      </x:c>
      <x:c r="N56" s="26" t="str">
        <x:v>独特但地下衔接区多，必须找到正确方向和段落。</x:v>
      </x:c>
      <x:c r="O56" s="26" t="str">
        <x:v>保留整段通道，广告内容与行人不作为匹配条件；与#66只用一张。</x:v>
      </x:c>
      <x:c r="P56" s="26" t="str">
        <x:v>核对C到E的方向与具体端点，避免把相似通道当同点。</x:v>
      </x:c>
      <x:c r="Q56" s="26" t="str">
        <x:v>待标注</x:v>
      </x:c>
    </x:row>
    <x:row r="57" ht="76" customHeight="1">
      <x:c r="A57" s="26" t="n">
        <x:v>52</x:v>
      </x:c>
      <x:c r="B57" s="26" t="n">
        <x:v>53</x:v>
      </x:c>
      <x:c r="C57" s="26" t="n">
        <x:v>3</x:v>
      </x:c>
      <x:c r="D57" s="26" t="str">
        <x:v>AF001BD7D50FB43BF0B84A4C62D7A995.jpg</x:v>
      </x:c>
      <x:c r="E57" s="26" t="str">
        <x:v>in77 C1区B1层</x:v>
      </x:c>
      <x:c r="F57" s="26" t="str">
        <x:v>Bobo Nuts（in77店）</x:v>
      </x:c>
      <x:c r="G57" s="26" t="str">
        <x:v>3</x:v>
      </x:c>
      <x:c r="H57" s="26" t="n">
        <x:v>3</x:v>
      </x:c>
      <x:c r="I57" s="26" t="str">
        <x:v>正式候选</x:v>
      </x:c>
      <x:c r="J57" s="26" t="str">
        <x:v>P17</x:v>
      </x:c>
      <x:c r="K57" s="26" t="str">
        <x:v>R2C2</x:v>
      </x:c>
      <x:c r="L57" s="26" t="str">
        <x:v>Bobo Nuts厨师帽毛绒形象，粉色框和右侧陈列架</x:v>
      </x:c>
      <x:c r="M57" s="26" t="str">
        <x:v>厨师帽形象、粉色展示框、右侧固定陈列</x:v>
      </x:c>
      <x:c r="N57" s="26" t="str">
        <x:v>店名弱，摆件位于店内且会变化，需要锁定展示角落。</x:v>
      </x:c>
      <x:c r="O57" s="26" t="str">
        <x:v>保留三者相邻关系；不要只给毛绒头像。</x:v>
      </x:c>
      <x:c r="P57" s="26" t="str">
        <x:v>毛绒摆件是否移位，店内公开拍摄位置。</x:v>
      </x:c>
      <x:c r="Q57" s="26" t="str">
        <x:v>待标注</x:v>
      </x:c>
    </x:row>
    <x:row r="58" ht="76" customHeight="1">
      <x:c r="A58" s="26" t="n">
        <x:v>53</x:v>
      </x:c>
      <x:c r="B58" s="26" t="n">
        <x:v>54</x:v>
      </x:c>
      <x:c r="C58" s="26" t="n">
        <x:v>3</x:v>
      </x:c>
      <x:c r="D58" s="26" t="str">
        <x:v>F50DF9D4594520DCB9A99DF66622803C.jpg</x:v>
      </x:c>
      <x:c r="E58" s="26" t="str">
        <x:v>in77 C1区B1层</x:v>
      </x:c>
      <x:c r="F58" s="26" t="str">
        <x:v>HOTCRUSH（in77店）</x:v>
      </x:c>
      <x:c r="G58" s="26" t="str">
        <x:v>3</x:v>
      </x:c>
      <x:c r="H58" s="26" t="n">
        <x:v>2</x:v>
      </x:c>
      <x:c r="I58" s="26" t="str">
        <x:v>正式候选</x:v>
      </x:c>
      <x:c r="J58" s="26" t="str">
        <x:v>P08</x:v>
      </x:c>
      <x:c r="K58" s="26" t="str">
        <x:v>R4C4</x:v>
      </x:c>
      <x:c r="L58" s="26" t="str">
        <x:v>HOT CRUSH墙面店名与中英文口号，旁边上行箭头</x:v>
      </x:c>
      <x:c r="M58" s="26" t="str">
        <x:v>HOT CRUSH文字、箭头、墙角与反光地面</x:v>
      </x:c>
      <x:c r="N58" s="26" t="str">
        <x:v>有明确名称及箭头；店外墙面定位仍需找到正确支路，建议中级。</x:v>
      </x:c>
      <x:c r="O58" s="26" t="str">
        <x:v>保留名称和箭头，不只留通用上行符号。</x:v>
      </x:c>
      <x:c r="P58" s="26" t="str">
        <x:v>C1 B1具体支路与墙角。</x:v>
      </x:c>
      <x:c r="Q58" s="26" t="str">
        <x:v>待标注</x:v>
      </x:c>
    </x:row>
    <x:row r="59" ht="76" customHeight="1">
      <x:c r="A59" s="26" t="n">
        <x:v>54</x:v>
      </x:c>
      <x:c r="B59" s="26" t="n">
        <x:v>55</x:v>
      </x:c>
      <x:c r="C59" s="26" t="n">
        <x:v>3</x:v>
      </x:c>
      <x:c r="D59" s="26" t="str">
        <x:v>IMG_20260917_181427.jpg</x:v>
      </x:c>
      <x:c r="E59" s="26" t="str">
        <x:v>工联CC三楼卡通尼乐园</x:v>
      </x:c>
      <x:c r="F59" s="26" t="str">
        <x:v>工联CC三楼卡通尼乐园</x:v>
      </x:c>
      <x:c r="G59" s="26" t="str">
        <x:v>1</x:v>
      </x:c>
      <x:c r="H59" s="26" t="n">
        <x:v>1</x:v>
      </x:c>
      <x:c r="I59" s="26" t="str">
        <x:v>正式候选</x:v>
      </x:c>
      <x:c r="J59" s="26" t="str">
        <x:v>P04</x:v>
      </x:c>
      <x:c r="K59" s="26" t="str">
        <x:v>R2C1</x:v>
      </x:c>
      <x:c r="L59" s="26" t="str">
        <x:v>工联卡通尼乐园内两台圆屏机台，背后彩色城堡墙</x:v>
      </x:c>
      <x:c r="M59" s="26" t="str">
        <x:v>两台机台及后方城堡装饰组合</x:v>
      </x:c>
      <x:c r="N59" s="26" t="str">
        <x:v>游戏玩家容易识别机台，但同类型机器并非地点唯一证据。</x:v>
      </x:c>
      <x:c r="O59" s="26" t="str">
        <x:v>保留城堡背景与机台组合，不只截屏幕。</x:v>
      </x:c>
      <x:c r="P59" s="26" t="str">
        <x:v>工联三楼与机台是否在公开可达区域。</x:v>
      </x:c>
      <x:c r="Q59" s="26" t="str">
        <x:v>待标注</x:v>
      </x:c>
    </x:row>
    <x:row r="60" ht="76" customHeight="1">
      <x:c r="A60" s="26" t="n">
        <x:v>55</x:v>
      </x:c>
      <x:c r="B60" s="26" t="n">
        <x:v>56</x:v>
      </x:c>
      <x:c r="C60" s="26" t="n">
        <x:v>3</x:v>
      </x:c>
      <x:c r="D60" s="26" t="str">
        <x:v>IMG_20260917_182029.jpg</x:v>
      </x:c>
      <x:c r="E60" s="26" t="str">
        <x:v>工联CCB2层二次元商城入口</x:v>
      </x:c>
      <x:c r="F60" s="26" t="str">
        <x:v>工联CCB2层ANIPLEX专卖店</x:v>
      </x:c>
      <x:c r="G60" s="26" t="str">
        <x:v>1</x:v>
      </x:c>
      <x:c r="H60" s="26" t="n">
        <x:v>2</x:v>
      </x:c>
      <x:c r="I60" s="26" t="str">
        <x:v>正式候选</x:v>
      </x:c>
      <x:c r="J60" s="26" t="str">
        <x:v>P12</x:v>
      </x:c>
      <x:c r="K60" s="26" t="str">
        <x:v>R2C4</x:v>
      </x:c>
      <x:c r="L60" s="26" t="str">
        <x:v>ANIPLEX多重粉紫霓虹矩形框与七个字母方框</x:v>
      </x:c>
      <x:c r="M60" s="26" t="str">
        <x:v>多层霓虹框、字母方框轮廓、竖纹墙</x:v>
      </x:c>
      <x:c r="N60" s="26" t="str">
        <x:v>原图名称重复出现；遮大部分重复名称后，装置仍很独特，建议中级。</x:v>
      </x:c>
      <x:c r="O60" s="26" t="str">
        <x:v>遮顶部重复名称，中央保留A和X作为弱提示，遮N/I/P/L/E的文字，不遮发光框架。</x:v>
      </x:c>
      <x:c r="P60" s="26" t="str">
        <x:v>遮挡不能连霓虹矩形一起抹掉；核对入口是否在B2。</x:v>
      </x:c>
      <x:c r="Q60" s="26" t="str">
        <x:v>待标注</x:v>
      </x:c>
    </x:row>
    <x:row r="61" ht="76" customHeight="1">
      <x:c r="A61" s="26" t="n">
        <x:v>56</x:v>
      </x:c>
      <x:c r="B61" s="26" t="n">
        <x:v>57</x:v>
      </x:c>
      <x:c r="C61" s="26" t="n">
        <x:v>3</x:v>
      </x:c>
      <x:c r="D61" s="26" t="str">
        <x:v>IMG_20260917_182446.jpg</x:v>
      </x:c>
      <x:c r="E61" s="26" t="str">
        <x:v>工联CCB1层animate店</x:v>
      </x:c>
      <x:c r="F61" s="26" t="str">
        <x:v>工联CCB1层animate店</x:v>
      </x:c>
      <x:c r="G61" s="26" t="str">
        <x:v>2</x:v>
      </x:c>
      <x:c r="H61" s="26" t="n">
        <x:v>2</x:v>
      </x:c>
      <x:c r="I61" s="26" t="str">
        <x:v>正式候选</x:v>
      </x:c>
      <x:c r="J61" s="26" t="str">
        <x:v>P15</x:v>
      </x:c>
      <x:c r="K61" s="26" t="str">
        <x:v>R5C3</x:v>
      </x:c>
      <x:c r="L61" s="26" t="str">
        <x:v>animate门外彩色角色展板、角色立牌，右边门头；左侧人物</x:v>
      </x:c>
      <x:c r="M61" s="26" t="str">
        <x:v>右侧animate字样、展板固定框架与右侧入口</x:v>
      </x:c>
      <x:c r="N61" s="26" t="str">
        <x:v>展板内容可能更新，原人物不是可持续线索。</x:v>
      </x:c>
      <x:c r="O61" s="26" t="str">
        <x:v>优先裁去左侧人物但保留右边招牌与展板框架；仍看不到完整地点时补拍。</x:v>
      </x:c>
      <x:c r="P61" s="26" t="str">
        <x:v>展板是否更新；不能要求立牌角色永久一致。</x:v>
      </x:c>
      <x:c r="Q61" s="26" t="str">
        <x:v>待标注</x:v>
      </x:c>
    </x:row>
    <x:row r="62" ht="76" customHeight="1">
      <x:c r="A62" s="26" t="n">
        <x:v>57</x:v>
      </x:c>
      <x:c r="B62" s="26" t="n">
        <x:v>58</x:v>
      </x:c>
      <x:c r="C62" s="26" t="n">
        <x:v>3</x:v>
      </x:c>
      <x:c r="D62" s="26" t="str">
        <x:v>IMG_20260917_182807.jpg</x:v>
      </x:c>
      <x:c r="E62" s="26" t="str">
        <x:v>工联CCB2层美食广场</x:v>
      </x:c>
      <x:c r="F62" s="26" t="str">
        <x:v>工联CCB2层美食广场</x:v>
      </x:c>
      <x:c r="G62" s="26" t="str">
        <x:v>2</x:v>
      </x:c>
      <x:c r="H62" s="26" t="n">
        <x:v>3</x:v>
      </x:c>
      <x:c r="I62" s="26" t="str">
        <x:v>正式候选</x:v>
      </x:c>
      <x:c r="J62" s="26" t="str">
        <x:v>P16</x:v>
      </x:c>
      <x:c r="K62" s="26" t="str">
        <x:v>R3C4</x:v>
      </x:c>
      <x:c r="L62" s="26" t="str">
        <x:v>工联B2美食广场超宽全景，桌椅、吊顶、门面和右侧导视</x:v>
      </x:c>
      <x:c r="M62" s="26" t="str">
        <x:v>右侧固定导视、吊顶与两侧通道关系</x:v>
      </x:c>
      <x:c r="N62" s="26" t="str">
        <x:v>单纯桌椅很常见，且超宽图在手机上细节极小；原中级可能低估。</x:v>
      </x:c>
      <x:c r="O62" s="26" t="str">
        <x:v>完整原图可缩放；提供左右两段放大视图作为同一题的补充，不能变成两格。若仍无固定锚点应补拍。</x:v>
      </x:c>
      <x:c r="P62" s="26" t="str">
        <x:v>读取原图右侧导视后确认固定参照，检查手机可读性。</x:v>
      </x:c>
      <x:c r="Q62" s="26" t="str">
        <x:v>待标注</x:v>
      </x:c>
    </x:row>
    <x:row r="63" ht="76" customHeight="1">
      <x:c r="A63" s="26" t="n">
        <x:v>58</x:v>
      </x:c>
      <x:c r="B63" s="26" t="n">
        <x:v>59</x:v>
      </x:c>
      <x:c r="C63" s="26" t="n">
        <x:v>3</x:v>
      </x:c>
      <x:c r="D63" s="26" t="str">
        <x:v>IMG_20260917_183224.jpg</x:v>
      </x:c>
      <x:c r="E63" s="26" t="str">
        <x:v>in77 BD连廊B2层消失的圆明园</x:v>
      </x:c>
      <x:c r="F63" s="26" t="str">
        <x:v>in77 BD连廊B2层消失的圆明园</x:v>
      </x:c>
      <x:c r="G63" s="26" t="str">
        <x:v>1</x:v>
      </x:c>
      <x:c r="H63" s="26" t="n">
        <x:v>1</x:v>
      </x:c>
      <x:c r="I63" s="26" t="str">
        <x:v>正式候选</x:v>
      </x:c>
      <x:c r="J63" s="26" t="str">
        <x:v>P05</x:v>
      </x:c>
      <x:c r="K63" s="26" t="str">
        <x:v>R1C4</x:v>
      </x:c>
      <x:c r="L63" s="26" t="str">
        <x:v>消失的圆明园展览发光文字，下方楼梯方向</x:v>
      </x:c>
      <x:c r="M63" s="26" t="str">
        <x:v>展名、墙面和下行入口结构</x:v>
      </x:c>
      <x:c r="N63" s="26" t="str">
        <x:v>展名十分直接，展览仍在时容易定位。</x:v>
      </x:c>
      <x:c r="O63" s="26" t="str">
        <x:v>保持展名与入口，不要求购票进入展区。</x:v>
      </x:c>
      <x:c r="P63" s="26" t="str">
        <x:v>展览是否仍在、入口是否开放。</x:v>
      </x:c>
      <x:c r="Q63" s="26" t="str">
        <x:v>待标注</x:v>
      </x:c>
    </x:row>
    <x:row r="64" ht="76" customHeight="1">
      <x:c r="A64" s="26" t="n">
        <x:v>59</x:v>
      </x:c>
      <x:c r="B64" s="26" t="n">
        <x:v>60</x:v>
      </x:c>
      <x:c r="C64" s="26" t="n">
        <x:v>3</x:v>
      </x:c>
      <x:c r="D64" s="26" t="str">
        <x:v>IMG_20260917_183347.jpg</x:v>
      </x:c>
      <x:c r="E64" s="26" t="str">
        <x:v>in77 B区B2层中央转角处</x:v>
      </x:c>
      <x:c r="F64" s="26" t="str">
        <x:v>in77 BD区B2层中央转角处</x:v>
      </x:c>
      <x:c r="G64" s="26" t="str">
        <x:v>2</x:v>
      </x:c>
      <x:c r="H64" s="26" t="n">
        <x:v>2</x:v>
      </x:c>
      <x:c r="I64" s="26" t="str">
        <x:v>正式候选</x:v>
      </x:c>
      <x:c r="J64" s="26" t="str">
        <x:v>P09</x:v>
      </x:c>
      <x:c r="K64" s="26" t="str">
        <x:v>R5C5</x:v>
      </x:c>
      <x:c r="L64" s="26" t="str">
        <x:v>绿色圆头卡通大装置，旁边B2石柱与天花</x:v>
      </x:c>
      <x:c r="M64" s="26" t="str">
        <x:v>绿色主体、B2柱、天花相邻关系</x:v>
      </x:c>
      <x:c r="N64" s="26" t="str">
        <x:v>卡通装置显眼，柱上B2能限定楼层，但可能移位。</x:v>
      </x:c>
      <x:c r="O64" s="26" t="str">
        <x:v>完整保留B2柱作为固定锚点。</x:v>
      </x:c>
      <x:c r="P64" s="26" t="str">
        <x:v>原D列B区与E列BD区写法需核对实际分区。</x:v>
      </x:c>
      <x:c r="Q64" s="26" t="str">
        <x:v>待标注</x:v>
      </x:c>
    </x:row>
    <x:row r="65" ht="76" customHeight="1">
      <x:c r="A65" s="26" t="n">
        <x:v>60</x:v>
      </x:c>
      <x:c r="B65" s="26" t="n">
        <x:v>61</x:v>
      </x:c>
      <x:c r="C65" s="26" t="n">
        <x:v>3</x:v>
      </x:c>
      <x:c r="D65" s="26" t="str">
        <x:v>IMG_20260917_183538.jpg</x:v>
      </x:c>
      <x:c r="E65" s="26" t="str">
        <x:v>in77 B区B2层harufilm追星馆</x:v>
      </x:c>
      <x:c r="F65" s="26" t="str">
        <x:v>harufilm（in77店）</x:v>
      </x:c>
      <x:c r="G65" s="26" t="str">
        <x:v>3</x:v>
      </x:c>
      <x:c r="H65" s="26" t="n">
        <x:v>2</x:v>
      </x:c>
      <x:c r="I65" s="26" t="str">
        <x:v>正式候选</x:v>
      </x:c>
      <x:c r="J65" s="26" t="str">
        <x:v>P07</x:v>
      </x:c>
      <x:c r="K65" s="26" t="str">
        <x:v>R5C1</x:v>
      </x:c>
      <x:c r="L65" s="26" t="str">
        <x:v>HaruFilm字样、拱形壁龛、九朵蓝色云和照片墙</x:v>
      </x:c>
      <x:c r="M65" s="26" t="str">
        <x:v>店名、拱形壁龛、九朵云排列</x:v>
      </x:c>
      <x:c r="N65" s="26" t="str">
        <x:v>品牌及极独特装饰同时出现，比无品牌内景更直接，建议中级。</x:v>
      </x:c>
      <x:c r="O65" s="26" t="str">
        <x:v>保持全部九朵云和店名，不必遮名增难。</x:v>
      </x:c>
      <x:c r="P65" s="26" t="str">
        <x:v>公共外墙拍摄范围。</x:v>
      </x:c>
      <x:c r="Q65" s="26" t="str">
        <x:v>待标注</x:v>
      </x:c>
    </x:row>
    <x:row r="66" ht="76" customHeight="1">
      <x:c r="A66" s="26" t="n">
        <x:v>61</x:v>
      </x:c>
      <x:c r="B66" s="26" t="n">
        <x:v>62</x:v>
      </x:c>
      <x:c r="C66" s="26" t="n">
        <x:v>3</x:v>
      </x:c>
      <x:c r="D66" s="26" t="str">
        <x:v>IMG_20260917_183749.jpg</x:v>
      </x:c>
      <x:c r="E66" s="26" t="str">
        <x:v>in77 B区B2层转转二手回收</x:v>
      </x:c>
      <x:c r="F66" s="26" t="str">
        <x:v>转转二手回收（in77B区店）</x:v>
      </x:c>
      <x:c r="G66" s="26" t="str">
        <x:v>2</x:v>
      </x:c>
      <x:c r="H66" s="26" t="n">
        <x:v>2</x:v>
      </x:c>
      <x:c r="I66" s="26" t="str">
        <x:v>正式候选</x:v>
      </x:c>
      <x:c r="J66" s="26" t="str">
        <x:v>P13</x:v>
      </x:c>
      <x:c r="K66" s="26" t="str">
        <x:v>R3C1</x:v>
      </x:c>
      <x:c r="L66" s="26" t="str">
        <x:v>转转黄色标志、文字门头及电子产品墙</x:v>
      </x:c>
      <x:c r="M66" s="26" t="str">
        <x:v>店名、标志与产品墙</x:v>
      </x:c>
      <x:c r="N66" s="26" t="str">
        <x:v>品牌直白，但同区域商场层数多，需定位B2门面。</x:v>
      </x:c>
      <x:c r="O66" s="26" t="str">
        <x:v>保留门头；裁减下方人物时不能切掉产品墙边界。</x:v>
      </x:c>
      <x:c r="P66" s="26" t="str">
        <x:v>B区B2门面。</x:v>
      </x:c>
      <x:c r="Q66" s="26" t="str">
        <x:v>待标注</x:v>
      </x:c>
    </x:row>
    <x:row r="67" ht="76" customHeight="1">
      <x:c r="A67" s="26" t="n">
        <x:v>62</x:v>
      </x:c>
      <x:c r="B67" s="26" t="n">
        <x:v>63</x:v>
      </x:c>
      <x:c r="C67" s="26" t="n">
        <x:v>3</x:v>
      </x:c>
      <x:c r="D67" s="26" t="str">
        <x:v>IMG_20260917_184124.jpg</x:v>
      </x:c>
      <x:c r="E67" s="26" t="str">
        <x:v>in77 D区B2层OONE CCUP</x:v>
      </x:c>
      <x:c r="F67" s="26" t="str">
        <x:v>OONE CCUP（in77店）</x:v>
      </x:c>
      <x:c r="G67" s="26" t="str">
        <x:v>2</x:v>
      </x:c>
      <x:c r="H67" s="26" t="n">
        <x:v>2</x:v>
      </x:c>
      <x:c r="I67" s="26" t="str">
        <x:v>正式候选</x:v>
      </x:c>
      <x:c r="J67" s="26" t="str">
        <x:v>P10</x:v>
      </x:c>
      <x:c r="K67" s="26" t="str">
        <x:v>R4C5</x:v>
      </x:c>
      <x:c r="L67" s="26" t="str">
        <x:v>OONE CCUP灰色转角墙、same but different口号及桌椅</x:v>
      </x:c>
      <x:c r="M67" s="26" t="str">
        <x:v>完整店名、转角、口号相邻关系</x:v>
      </x:c>
      <x:c r="N67" s="26" t="str">
        <x:v>店名明确但有分区与方向判断，原中级合理。</x:v>
      </x:c>
      <x:c r="O67" s="26" t="str">
        <x:v>保留转角与两段文字，不裁成单词。</x:v>
      </x:c>
      <x:c r="P67" s="26" t="str">
        <x:v>原表OONE与实图OONE/ONE字样以原图为准。</x:v>
      </x:c>
      <x:c r="Q67" s="26" t="str">
        <x:v>待标注</x:v>
      </x:c>
    </x:row>
    <x:row r="68" ht="76" customHeight="1">
      <x:c r="A68" s="26" t="n">
        <x:v>63</x:v>
      </x:c>
      <x:c r="B68" s="26" t="n">
        <x:v>64</x:v>
      </x:c>
      <x:c r="C68" s="26" t="n">
        <x:v>3</x:v>
      </x:c>
      <x:c r="D68" s="26" t="str">
        <x:v>IMG_20260917_184223.jpg</x:v>
      </x:c>
      <x:c r="E68" s="26" t="str">
        <x:v>in77 D区B2萨莉亚</x:v>
      </x:c>
      <x:c r="F68" s="26" t="str">
        <x:v>萨莉亚（in77店）</x:v>
      </x:c>
      <x:c r="G68" s="26" t="str">
        <x:v>1</x:v>
      </x:c>
      <x:c r="H68" s="26" t="n">
        <x:v>1</x:v>
      </x:c>
      <x:c r="I68" s="26" t="str">
        <x:v>正式候选</x:v>
      </x:c>
      <x:c r="J68" s="26" t="str">
        <x:v>P06</x:v>
      </x:c>
      <x:c r="K68" s="26" t="str">
        <x:v>R4C3</x:v>
      </x:c>
      <x:c r="L68" s="26" t="str">
        <x:v>两人自拍占大半画面，背后萨莉亚门头与多边形绿色天花</x:v>
      </x:c>
      <x:c r="M68" s="26" t="str">
        <x:v>真实萨莉亚招牌、绿色多边形天花、柜台边界</x:v>
      </x:c>
      <x:c r="N68" s="26" t="str">
        <x:v>店名仍可识别，但原自拍镜像、人物遮挡会干扰读图。</x:v>
      </x:c>
      <x:c r="O68" s="26" t="str">
        <x:v>处理版只裁取上方门头与天花，并水平翻转恢复可读文字；不生成被人物挡住的店内细节。</x:v>
      </x:c>
      <x:c r="P68" s="26" t="str">
        <x:v>原图镜像需明确。若有效背景裁后太少，使用原图或补拍门头。</x:v>
      </x:c>
      <x:c r="Q68" s="26" t="str">
        <x:v>待标注</x:v>
      </x:c>
    </x:row>
    <x:row r="69" ht="76" customHeight="1">
      <x:c r="A69" s="26" t="n">
        <x:v>64</x:v>
      </x:c>
      <x:c r="B69" s="26" t="n">
        <x:v>65</x:v>
      </x:c>
      <x:c r="C69" s="26" t="n">
        <x:v>3</x:v>
      </x:c>
      <x:c r="D69" s="26" t="str">
        <x:v>IMG_20260917_184644.jpg</x:v>
      </x:c>
      <x:c r="E69" s="26" t="str">
        <x:v>in77 C1区乐高旗舰店</x:v>
      </x:c>
      <x:c r="F69" s="26" t="str">
        <x:v>乐高旗舰店（in77店）</x:v>
      </x:c>
      <x:c r="G69" s="26" t="str">
        <x:v>3</x:v>
      </x:c>
      <x:c r="H69" s="26" t="n">
        <x:v>3</x:v>
      </x:c>
      <x:c r="I69" s="26" t="str">
        <x:v>正式候选</x:v>
      </x:c>
      <x:c r="J69" s="26" t="str">
        <x:v>P18</x:v>
      </x:c>
      <x:c r="K69" s="26" t="str">
        <x:v>R4C1</x:v>
      </x:c>
      <x:c r="L69" s="26" t="str">
        <x:v>乐高店内满墙透明圆形积木分色桶，底部黄色小人牌</x:v>
      </x:c>
      <x:c r="M69" s="26" t="str">
        <x:v>圆桶阵列、彩色积木、黄色小人牌</x:v>
      </x:c>
      <x:c r="N69" s="26" t="str">
        <x:v>没有店名且需要进入店内匹配装置，属于细节定位。</x:v>
      </x:c>
      <x:c r="O69" s="26" t="str">
        <x:v>保留圆桶阵列与黄色小人牌，裁去底部手指无需修补桶体。</x:v>
      </x:c>
      <x:c r="P69" s="26" t="str">
        <x:v>店内拍摄范围与装置是否保留。</x:v>
      </x:c>
      <x:c r="Q69" s="26" t="str">
        <x:v>待标注</x:v>
      </x:c>
    </x:row>
    <x:row r="70" ht="76" customHeight="1">
      <x:c r="A70" s="26" t="n">
        <x:v>65</x:v>
      </x:c>
      <x:c r="B70" s="26" t="n">
        <x:v>66</x:v>
      </x:c>
      <x:c r="C70" s="26" t="n">
        <x:v>3</x:v>
      </x:c>
      <x:c r="D70" s="26" t="str">
        <x:v>IMG_20260917_185043.jpg</x:v>
      </x:c>
      <x:c r="E70" s="26" t="str">
        <x:v>in77 C2区puui</x:v>
      </x:c>
      <x:c r="F70" s="26" t="str">
        <x:v>Puui噗又（in77店）</x:v>
      </x:c>
      <x:c r="G70" s="26" t="str">
        <x:v>2</x:v>
      </x:c>
      <x:c r="H70" s="26" t="n">
        <x:v>2</x:v>
      </x:c>
      <x:c r="I70" s="26" t="str">
        <x:v>正式候选</x:v>
      </x:c>
      <x:c r="J70" s="26" t="str">
        <x:v>P14</x:v>
      </x:c>
      <x:c r="K70" s="26" t="str">
        <x:v>R3C2</x:v>
      </x:c>
      <x:c r="L70" s="26" t="str">
        <x:v>Puui红色门框与门外腕表形钟，里面同色陈列</x:v>
      </x:c>
      <x:c r="M70" s="26" t="str">
        <x:v>店名、红框、腕表形钟</x:v>
      </x:c>
      <x:c r="N70" s="26" t="str">
        <x:v>招牌清楚但需匹配特定入口，原中级合理。</x:v>
      </x:c>
      <x:c r="O70" s="26" t="str">
        <x:v>保留表形钟和红框，不裁成纯品牌字。</x:v>
      </x:c>
      <x:c r="P70" s="26" t="str">
        <x:v>钟装置是否移位。</x:v>
      </x:c>
      <x:c r="Q70" s="26" t="str">
        <x:v>待标注</x:v>
      </x:c>
    </x:row>
    <x:row r="71" ht="76" customHeight="1">
      <x:c r="A71" s="26" t="n">
        <x:v>66</x:v>
      </x:c>
      <x:c r="B71" s="26" t="n">
        <x:v>67</x:v>
      </x:c>
      <x:c r="C71" s="26" t="n">
        <x:v>3</x:v>
      </x:c>
      <x:c r="D71" s="26" t="str">
        <x:v>IMG_20260917_185533.jpg</x:v>
      </x:c>
      <x:c r="E71" s="26" t="str">
        <x:v>in77 地下衔接处</x:v>
      </x:c>
      <x:c r="F71" s="26" t="str"/>
      <x:c r="G71" s="26" t="str">
        <x:v>2</x:v>
      </x:c>
      <x:c r="H71" s="26" t="n">
        <x:v>2</x:v>
      </x:c>
      <x:c r="I71" s="26" t="str">
        <x:v>备用</x:v>
      </x:c>
      <x:c r="J71" s="26" t="str"/>
      <x:c r="K71" s="26" t="str"/>
      <x:c r="L71" s="26" t="str">
        <x:v>与#51相似的彩色拱环地下通道，两侧广告屏</x:v>
      </x:c>
      <x:c r="M71" s="26" t="str">
        <x:v>连续拱环与两侧结构</x:v>
      </x:c>
      <x:c r="N71" s="26" t="str">
        <x:v>地点备注为空且与#51高度相似，暂不具备独立发题所需站位。</x:v>
      </x:c>
      <x:c r="O71" s="26" t="str">
        <x:v>作为备用，先核对是否为同一通道另一方向；不另占正式格。</x:v>
      </x:c>
      <x:c r="P71" s="26" t="str">
        <x:v>必须补全具体分区、楼层、方向与拍摄点。</x:v>
      </x:c>
      <x:c r="Q71" s="26" t="str">
        <x:v>待标注</x:v>
      </x:c>
    </x:row>
  </x:sheetData>
  <x:conditionalFormatting sqref="H6:H71">
    <x:cfRule type="cellIs" dxfId="3" priority="1" operator="equal">
      <x:formula>1</x:formula>
    </x:cfRule>
    <x:cfRule type="cellIs" dxfId="4" priority="2" operator="equal">
      <x:formula>2</x:formula>
    </x:cfRule>
    <x:cfRule type="cellIs" dxfId="5" priority="3" operator="equal">
      <x:formula>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a77efbd64442fe"/>
  </x:tableParts>
</x:worksheet>
</file>